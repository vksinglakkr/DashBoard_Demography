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105" windowWidth="14805" windowHeight="8010" activeTab="1"/>
  </bookViews>
  <sheets>
    <sheet name="GISData" sheetId="4" r:id="rId1"/>
    <sheet name="Main_Data" sheetId="1" r:id="rId2"/>
    <sheet name="SexRatio" sheetId="2" r:id="rId3"/>
    <sheet name="Subtotal" sheetId="6" r:id="rId4"/>
    <sheet name="Main_Data (2)" sheetId="7" r:id="rId5"/>
  </sheets>
  <definedNames>
    <definedName name="_xlnm._FilterDatabase" localSheetId="1" hidden="1">Main_Data!$A$1:$J$407</definedName>
    <definedName name="_xlnm._FilterDatabase" localSheetId="4" hidden="1">'Main_Data (2)'!$A$1:$J$407</definedName>
    <definedName name="_xlnm.Extract" localSheetId="0">GISData!#REF!</definedName>
  </definedNames>
  <calcPr calcId="124519"/>
</workbook>
</file>

<file path=xl/calcChain.xml><?xml version="1.0" encoding="utf-8"?>
<calcChain xmlns="http://schemas.openxmlformats.org/spreadsheetml/2006/main">
  <c r="N407" i="7"/>
  <c r="J407"/>
  <c r="U407" s="1"/>
  <c r="N406"/>
  <c r="J406"/>
  <c r="U406" s="1"/>
  <c r="N405"/>
  <c r="J405"/>
  <c r="U405" s="1"/>
  <c r="N404"/>
  <c r="J404"/>
  <c r="U404" s="1"/>
  <c r="N403"/>
  <c r="J403"/>
  <c r="U403" s="1"/>
  <c r="N402"/>
  <c r="J402"/>
  <c r="U402" s="1"/>
  <c r="N401"/>
  <c r="J401"/>
  <c r="U401" s="1"/>
  <c r="U400"/>
  <c r="N400"/>
  <c r="J400"/>
  <c r="U399"/>
  <c r="N399"/>
  <c r="J399"/>
  <c r="N398"/>
  <c r="J398"/>
  <c r="U398" s="1"/>
  <c r="N397"/>
  <c r="J397"/>
  <c r="U397" s="1"/>
  <c r="N396"/>
  <c r="J396"/>
  <c r="U396" s="1"/>
  <c r="N395"/>
  <c r="J395"/>
  <c r="U395" s="1"/>
  <c r="N394"/>
  <c r="J394"/>
  <c r="U394" s="1"/>
  <c r="N393"/>
  <c r="J393"/>
  <c r="U393" s="1"/>
  <c r="N392"/>
  <c r="J392"/>
  <c r="U392" s="1"/>
  <c r="N391"/>
  <c r="J391"/>
  <c r="U391" s="1"/>
  <c r="N390"/>
  <c r="J390"/>
  <c r="U390" s="1"/>
  <c r="N389"/>
  <c r="J389"/>
  <c r="U389" s="1"/>
  <c r="N388"/>
  <c r="J388"/>
  <c r="U388" s="1"/>
  <c r="U387"/>
  <c r="N387"/>
  <c r="J387"/>
  <c r="N386"/>
  <c r="J386"/>
  <c r="U386" s="1"/>
  <c r="N385"/>
  <c r="J385"/>
  <c r="U385" s="1"/>
  <c r="N384"/>
  <c r="J384"/>
  <c r="U384" s="1"/>
  <c r="N383"/>
  <c r="J383"/>
  <c r="U383" s="1"/>
  <c r="N382"/>
  <c r="J382"/>
  <c r="U382" s="1"/>
  <c r="N381"/>
  <c r="J381"/>
  <c r="U381" s="1"/>
  <c r="N380"/>
  <c r="J380"/>
  <c r="U380" s="1"/>
  <c r="N379"/>
  <c r="J379"/>
  <c r="U379" s="1"/>
  <c r="N378"/>
  <c r="J378"/>
  <c r="U378" s="1"/>
  <c r="N377"/>
  <c r="J377"/>
  <c r="U377" s="1"/>
  <c r="N376"/>
  <c r="J376"/>
  <c r="U376" s="1"/>
  <c r="N375"/>
  <c r="J375"/>
  <c r="U375" s="1"/>
  <c r="N374"/>
  <c r="J374"/>
  <c r="U374" s="1"/>
  <c r="N373"/>
  <c r="J373"/>
  <c r="U373" s="1"/>
  <c r="N372"/>
  <c r="J372"/>
  <c r="U372" s="1"/>
  <c r="N371"/>
  <c r="J371"/>
  <c r="U371" s="1"/>
  <c r="N370"/>
  <c r="J370"/>
  <c r="U370" s="1"/>
  <c r="N369"/>
  <c r="J369"/>
  <c r="U369" s="1"/>
  <c r="N368"/>
  <c r="J368"/>
  <c r="U368" s="1"/>
  <c r="N367"/>
  <c r="J367"/>
  <c r="U367" s="1"/>
  <c r="N366"/>
  <c r="J366"/>
  <c r="U366" s="1"/>
  <c r="N365"/>
  <c r="J365"/>
  <c r="U365" s="1"/>
  <c r="N364"/>
  <c r="J364"/>
  <c r="U364" s="1"/>
  <c r="U363"/>
  <c r="N363"/>
  <c r="J363"/>
  <c r="N362"/>
  <c r="J362"/>
  <c r="U362" s="1"/>
  <c r="N361"/>
  <c r="J361"/>
  <c r="U361" s="1"/>
  <c r="N360"/>
  <c r="J360"/>
  <c r="U360" s="1"/>
  <c r="N359"/>
  <c r="J359"/>
  <c r="U359" s="1"/>
  <c r="N358"/>
  <c r="J358"/>
  <c r="U358" s="1"/>
  <c r="N357"/>
  <c r="J357"/>
  <c r="U357" s="1"/>
  <c r="N356"/>
  <c r="J356"/>
  <c r="U356" s="1"/>
  <c r="N355"/>
  <c r="J355"/>
  <c r="U355" s="1"/>
  <c r="N354"/>
  <c r="J354"/>
  <c r="U354" s="1"/>
  <c r="N353"/>
  <c r="J353"/>
  <c r="U353" s="1"/>
  <c r="U352"/>
  <c r="N352"/>
  <c r="J352"/>
  <c r="N351"/>
  <c r="J351"/>
  <c r="U351" s="1"/>
  <c r="N350"/>
  <c r="J350"/>
  <c r="U350" s="1"/>
  <c r="N349"/>
  <c r="J349"/>
  <c r="U349" s="1"/>
  <c r="N348"/>
  <c r="J348"/>
  <c r="U348" s="1"/>
  <c r="U347"/>
  <c r="N347"/>
  <c r="J347"/>
  <c r="N346"/>
  <c r="J346"/>
  <c r="U346" s="1"/>
  <c r="N345"/>
  <c r="J345"/>
  <c r="U345" s="1"/>
  <c r="N344"/>
  <c r="J344"/>
  <c r="U344" s="1"/>
  <c r="N343"/>
  <c r="J343"/>
  <c r="U343" s="1"/>
  <c r="N342"/>
  <c r="J342"/>
  <c r="U342" s="1"/>
  <c r="N341"/>
  <c r="J341"/>
  <c r="U341" s="1"/>
  <c r="N340"/>
  <c r="J340"/>
  <c r="U340" s="1"/>
  <c r="N339"/>
  <c r="J339"/>
  <c r="U339" s="1"/>
  <c r="N338"/>
  <c r="J338"/>
  <c r="U338" s="1"/>
  <c r="N337"/>
  <c r="J337"/>
  <c r="U337" s="1"/>
  <c r="U336"/>
  <c r="N336"/>
  <c r="J336"/>
  <c r="N335"/>
  <c r="J335"/>
  <c r="U335" s="1"/>
  <c r="N334"/>
  <c r="J334"/>
  <c r="U334" s="1"/>
  <c r="N333"/>
  <c r="J333"/>
  <c r="U333" s="1"/>
  <c r="N332"/>
  <c r="J332"/>
  <c r="U332" s="1"/>
  <c r="U331"/>
  <c r="N331"/>
  <c r="J331"/>
  <c r="N330"/>
  <c r="J330"/>
  <c r="U330" s="1"/>
  <c r="N329"/>
  <c r="J329"/>
  <c r="U329" s="1"/>
  <c r="N328"/>
  <c r="J328"/>
  <c r="U328" s="1"/>
  <c r="N327"/>
  <c r="J327"/>
  <c r="U327" s="1"/>
  <c r="N326"/>
  <c r="J326"/>
  <c r="U326" s="1"/>
  <c r="N325"/>
  <c r="J325"/>
  <c r="U325" s="1"/>
  <c r="N324"/>
  <c r="J324"/>
  <c r="U324" s="1"/>
  <c r="N323"/>
  <c r="J323"/>
  <c r="U323" s="1"/>
  <c r="N322"/>
  <c r="J322"/>
  <c r="U322" s="1"/>
  <c r="N321"/>
  <c r="J321"/>
  <c r="U321" s="1"/>
  <c r="U320"/>
  <c r="N320"/>
  <c r="J320"/>
  <c r="N319"/>
  <c r="J319"/>
  <c r="U319" s="1"/>
  <c r="N318"/>
  <c r="J318"/>
  <c r="U318" s="1"/>
  <c r="N317"/>
  <c r="J317"/>
  <c r="U317" s="1"/>
  <c r="N316"/>
  <c r="J316"/>
  <c r="U316" s="1"/>
  <c r="U315"/>
  <c r="N315"/>
  <c r="J315"/>
  <c r="N314"/>
  <c r="J314"/>
  <c r="U314" s="1"/>
  <c r="N313"/>
  <c r="J313"/>
  <c r="U313" s="1"/>
  <c r="N312"/>
  <c r="J312"/>
  <c r="U312" s="1"/>
  <c r="N311"/>
  <c r="J311"/>
  <c r="U311" s="1"/>
  <c r="N310"/>
  <c r="J310"/>
  <c r="U310" s="1"/>
  <c r="N309"/>
  <c r="J309"/>
  <c r="U309" s="1"/>
  <c r="N308"/>
  <c r="J308"/>
  <c r="U308" s="1"/>
  <c r="N307"/>
  <c r="J307"/>
  <c r="U307" s="1"/>
  <c r="N306"/>
  <c r="J306"/>
  <c r="U306" s="1"/>
  <c r="N305"/>
  <c r="J305"/>
  <c r="U305" s="1"/>
  <c r="N304"/>
  <c r="J304"/>
  <c r="U304" s="1"/>
  <c r="N303"/>
  <c r="J303"/>
  <c r="U303" s="1"/>
  <c r="N302"/>
  <c r="J302"/>
  <c r="U302" s="1"/>
  <c r="N301"/>
  <c r="J301"/>
  <c r="U301" s="1"/>
  <c r="N300"/>
  <c r="J300"/>
  <c r="U300" s="1"/>
  <c r="N299"/>
  <c r="J299"/>
  <c r="U299" s="1"/>
  <c r="N298"/>
  <c r="J298"/>
  <c r="U298" s="1"/>
  <c r="N297"/>
  <c r="J297"/>
  <c r="U297" s="1"/>
  <c r="N296"/>
  <c r="J296"/>
  <c r="U296" s="1"/>
  <c r="N295"/>
  <c r="J295"/>
  <c r="U295" s="1"/>
  <c r="N294"/>
  <c r="J294"/>
  <c r="U294" s="1"/>
  <c r="N293"/>
  <c r="J293"/>
  <c r="U293" s="1"/>
  <c r="N292"/>
  <c r="J292"/>
  <c r="U292" s="1"/>
  <c r="U291"/>
  <c r="N291"/>
  <c r="J291"/>
  <c r="N290"/>
  <c r="J290"/>
  <c r="U290" s="1"/>
  <c r="N289"/>
  <c r="J289"/>
  <c r="U289" s="1"/>
  <c r="N288"/>
  <c r="J288"/>
  <c r="U288" s="1"/>
  <c r="N287"/>
  <c r="J287"/>
  <c r="U287" s="1"/>
  <c r="N286"/>
  <c r="J286"/>
  <c r="U286" s="1"/>
  <c r="N285"/>
  <c r="J285"/>
  <c r="U285" s="1"/>
  <c r="N284"/>
  <c r="J284"/>
  <c r="U284" s="1"/>
  <c r="U283"/>
  <c r="N283"/>
  <c r="J283"/>
  <c r="N282"/>
  <c r="J282"/>
  <c r="U282" s="1"/>
  <c r="N281"/>
  <c r="J281"/>
  <c r="U281" s="1"/>
  <c r="N280"/>
  <c r="J280"/>
  <c r="U280" s="1"/>
  <c r="N279"/>
  <c r="J279"/>
  <c r="U279" s="1"/>
  <c r="N278"/>
  <c r="J278"/>
  <c r="U278" s="1"/>
  <c r="N277"/>
  <c r="J277"/>
  <c r="U277" s="1"/>
  <c r="N276"/>
  <c r="J276"/>
  <c r="U276" s="1"/>
  <c r="N275"/>
  <c r="J275"/>
  <c r="U275" s="1"/>
  <c r="N274"/>
  <c r="J274"/>
  <c r="U274" s="1"/>
  <c r="N273"/>
  <c r="J273"/>
  <c r="U273" s="1"/>
  <c r="N272"/>
  <c r="J272"/>
  <c r="U272" s="1"/>
  <c r="N271"/>
  <c r="J271"/>
  <c r="U271" s="1"/>
  <c r="N270"/>
  <c r="J270"/>
  <c r="U270" s="1"/>
  <c r="N269"/>
  <c r="J269"/>
  <c r="U269" s="1"/>
  <c r="N268"/>
  <c r="J268"/>
  <c r="U268" s="1"/>
  <c r="N267"/>
  <c r="J267"/>
  <c r="U267" s="1"/>
  <c r="N266"/>
  <c r="J266"/>
  <c r="U266" s="1"/>
  <c r="N265"/>
  <c r="J265"/>
  <c r="U265" s="1"/>
  <c r="N264"/>
  <c r="J264"/>
  <c r="U264" s="1"/>
  <c r="N263"/>
  <c r="J263"/>
  <c r="U263" s="1"/>
  <c r="N262"/>
  <c r="J262"/>
  <c r="U262" s="1"/>
  <c r="N261"/>
  <c r="J261"/>
  <c r="U261" s="1"/>
  <c r="N260"/>
  <c r="J260"/>
  <c r="U260" s="1"/>
  <c r="U259"/>
  <c r="N259"/>
  <c r="J259"/>
  <c r="N258"/>
  <c r="J258"/>
  <c r="U258" s="1"/>
  <c r="N257"/>
  <c r="J257"/>
  <c r="U257" s="1"/>
  <c r="N256"/>
  <c r="J256"/>
  <c r="U256" s="1"/>
  <c r="N255"/>
  <c r="J255"/>
  <c r="U255" s="1"/>
  <c r="N254"/>
  <c r="J254"/>
  <c r="U254" s="1"/>
  <c r="N253"/>
  <c r="J253"/>
  <c r="U253" s="1"/>
  <c r="N252"/>
  <c r="J252"/>
  <c r="U252" s="1"/>
  <c r="U251"/>
  <c r="N251"/>
  <c r="J251"/>
  <c r="N250"/>
  <c r="J250"/>
  <c r="U250" s="1"/>
  <c r="N249"/>
  <c r="J249"/>
  <c r="U249" s="1"/>
  <c r="N248"/>
  <c r="J248"/>
  <c r="U248" s="1"/>
  <c r="N247"/>
  <c r="J247"/>
  <c r="U247" s="1"/>
  <c r="N246"/>
  <c r="J246"/>
  <c r="U246" s="1"/>
  <c r="N245"/>
  <c r="J245"/>
  <c r="U245" s="1"/>
  <c r="N244"/>
  <c r="J244"/>
  <c r="U244" s="1"/>
  <c r="N243"/>
  <c r="J243"/>
  <c r="U243" s="1"/>
  <c r="N242"/>
  <c r="J242"/>
  <c r="U242" s="1"/>
  <c r="N241"/>
  <c r="J241"/>
  <c r="U241" s="1"/>
  <c r="N240"/>
  <c r="J240"/>
  <c r="U240" s="1"/>
  <c r="N239"/>
  <c r="J239"/>
  <c r="U239" s="1"/>
  <c r="N238"/>
  <c r="J238"/>
  <c r="U238" s="1"/>
  <c r="N237"/>
  <c r="J237"/>
  <c r="U237" s="1"/>
  <c r="N236"/>
  <c r="J236"/>
  <c r="U236" s="1"/>
  <c r="N235"/>
  <c r="J235"/>
  <c r="U235" s="1"/>
  <c r="N234"/>
  <c r="J234"/>
  <c r="U234" s="1"/>
  <c r="N233"/>
  <c r="J233"/>
  <c r="U233" s="1"/>
  <c r="N232"/>
  <c r="J232"/>
  <c r="U232" s="1"/>
  <c r="N231"/>
  <c r="J231"/>
  <c r="U231" s="1"/>
  <c r="N230"/>
  <c r="J230"/>
  <c r="U230" s="1"/>
  <c r="N229"/>
  <c r="J229"/>
  <c r="U229" s="1"/>
  <c r="N228"/>
  <c r="J228"/>
  <c r="U228" s="1"/>
  <c r="U227"/>
  <c r="N227"/>
  <c r="J227"/>
  <c r="N226"/>
  <c r="J226"/>
  <c r="U226" s="1"/>
  <c r="N225"/>
  <c r="J225"/>
  <c r="U225" s="1"/>
  <c r="N224"/>
  <c r="J224"/>
  <c r="U224" s="1"/>
  <c r="N223"/>
  <c r="J223"/>
  <c r="U223" s="1"/>
  <c r="N222"/>
  <c r="J222"/>
  <c r="U222" s="1"/>
  <c r="N221"/>
  <c r="J221"/>
  <c r="U221" s="1"/>
  <c r="N220"/>
  <c r="J220"/>
  <c r="U220" s="1"/>
  <c r="N219"/>
  <c r="J219"/>
  <c r="U219" s="1"/>
  <c r="N218"/>
  <c r="J218"/>
  <c r="U218" s="1"/>
  <c r="N217"/>
  <c r="J217"/>
  <c r="U217" s="1"/>
  <c r="N216"/>
  <c r="J216"/>
  <c r="U216" s="1"/>
  <c r="N215"/>
  <c r="J215"/>
  <c r="U215" s="1"/>
  <c r="N214"/>
  <c r="J214"/>
  <c r="U214" s="1"/>
  <c r="N213"/>
  <c r="J213"/>
  <c r="U213" s="1"/>
  <c r="N212"/>
  <c r="J212"/>
  <c r="U212" s="1"/>
  <c r="N211"/>
  <c r="J211"/>
  <c r="U211" s="1"/>
  <c r="N210"/>
  <c r="J210"/>
  <c r="U210" s="1"/>
  <c r="N209"/>
  <c r="J209"/>
  <c r="U209" s="1"/>
  <c r="N208"/>
  <c r="J208"/>
  <c r="U208" s="1"/>
  <c r="N207"/>
  <c r="J207"/>
  <c r="U207" s="1"/>
  <c r="N206"/>
  <c r="J206"/>
  <c r="U206" s="1"/>
  <c r="N205"/>
  <c r="J205"/>
  <c r="U205" s="1"/>
  <c r="N204"/>
  <c r="J204"/>
  <c r="U204" s="1"/>
  <c r="U203"/>
  <c r="N203"/>
  <c r="J203"/>
  <c r="N202"/>
  <c r="J202"/>
  <c r="U202" s="1"/>
  <c r="N201"/>
  <c r="J201"/>
  <c r="U201" s="1"/>
  <c r="N200"/>
  <c r="J200"/>
  <c r="U200" s="1"/>
  <c r="N199"/>
  <c r="J199"/>
  <c r="U199" s="1"/>
  <c r="N198"/>
  <c r="J198"/>
  <c r="U198" s="1"/>
  <c r="N197"/>
  <c r="J197"/>
  <c r="U197" s="1"/>
  <c r="N196"/>
  <c r="J196"/>
  <c r="U196" s="1"/>
  <c r="N195"/>
  <c r="J195"/>
  <c r="U195" s="1"/>
  <c r="N194"/>
  <c r="J194"/>
  <c r="U194" s="1"/>
  <c r="N193"/>
  <c r="J193"/>
  <c r="U193" s="1"/>
  <c r="N192"/>
  <c r="J192"/>
  <c r="U192" s="1"/>
  <c r="N191"/>
  <c r="J191"/>
  <c r="U191" s="1"/>
  <c r="N190"/>
  <c r="J190"/>
  <c r="U190" s="1"/>
  <c r="N189"/>
  <c r="J189"/>
  <c r="U189" s="1"/>
  <c r="N188"/>
  <c r="J188"/>
  <c r="U188" s="1"/>
  <c r="N187"/>
  <c r="J187"/>
  <c r="U187" s="1"/>
  <c r="N186"/>
  <c r="J186"/>
  <c r="U186" s="1"/>
  <c r="N185"/>
  <c r="J185"/>
  <c r="U185" s="1"/>
  <c r="N184"/>
  <c r="J184"/>
  <c r="U184" s="1"/>
  <c r="N183"/>
  <c r="J183"/>
  <c r="U183" s="1"/>
  <c r="N182"/>
  <c r="J182"/>
  <c r="U182" s="1"/>
  <c r="N181"/>
  <c r="J181"/>
  <c r="U181" s="1"/>
  <c r="N180"/>
  <c r="J180"/>
  <c r="U180" s="1"/>
  <c r="U179"/>
  <c r="N179"/>
  <c r="J179"/>
  <c r="N178"/>
  <c r="J178"/>
  <c r="U178" s="1"/>
  <c r="N177"/>
  <c r="J177"/>
  <c r="U177" s="1"/>
  <c r="N176"/>
  <c r="J176"/>
  <c r="U176" s="1"/>
  <c r="N175"/>
  <c r="J175"/>
  <c r="U175" s="1"/>
  <c r="N174"/>
  <c r="J174"/>
  <c r="U174" s="1"/>
  <c r="N173"/>
  <c r="J173"/>
  <c r="U173" s="1"/>
  <c r="N172"/>
  <c r="J172"/>
  <c r="U172" s="1"/>
  <c r="U171"/>
  <c r="N171"/>
  <c r="J171"/>
  <c r="N170"/>
  <c r="J170"/>
  <c r="U170" s="1"/>
  <c r="N169"/>
  <c r="J169"/>
  <c r="U169" s="1"/>
  <c r="N168"/>
  <c r="J168"/>
  <c r="U168" s="1"/>
  <c r="N167"/>
  <c r="J167"/>
  <c r="U167" s="1"/>
  <c r="N166"/>
  <c r="J166"/>
  <c r="U166" s="1"/>
  <c r="N165"/>
  <c r="J165"/>
  <c r="U165" s="1"/>
  <c r="N164"/>
  <c r="J164"/>
  <c r="U164" s="1"/>
  <c r="N163"/>
  <c r="J163"/>
  <c r="U163" s="1"/>
  <c r="N162"/>
  <c r="J162"/>
  <c r="U162" s="1"/>
  <c r="N161"/>
  <c r="J161"/>
  <c r="U161" s="1"/>
  <c r="N160"/>
  <c r="J160"/>
  <c r="U160" s="1"/>
  <c r="N159"/>
  <c r="J159"/>
  <c r="U159" s="1"/>
  <c r="N158"/>
  <c r="J158"/>
  <c r="U158" s="1"/>
  <c r="N157"/>
  <c r="J157"/>
  <c r="U157" s="1"/>
  <c r="N156"/>
  <c r="J156"/>
  <c r="U156" s="1"/>
  <c r="N155"/>
  <c r="J155"/>
  <c r="U155" s="1"/>
  <c r="N154"/>
  <c r="J154"/>
  <c r="U154" s="1"/>
  <c r="N153"/>
  <c r="J153"/>
  <c r="U153" s="1"/>
  <c r="N152"/>
  <c r="J152"/>
  <c r="U152" s="1"/>
  <c r="N151"/>
  <c r="J151"/>
  <c r="U151" s="1"/>
  <c r="N150"/>
  <c r="J150"/>
  <c r="U150" s="1"/>
  <c r="N149"/>
  <c r="J149"/>
  <c r="U149" s="1"/>
  <c r="N148"/>
  <c r="J148"/>
  <c r="U148" s="1"/>
  <c r="U147"/>
  <c r="N147"/>
  <c r="J147"/>
  <c r="N146"/>
  <c r="J146"/>
  <c r="U146" s="1"/>
  <c r="N145"/>
  <c r="J145"/>
  <c r="U145" s="1"/>
  <c r="N144"/>
  <c r="J144"/>
  <c r="U144" s="1"/>
  <c r="N143"/>
  <c r="J143"/>
  <c r="U143" s="1"/>
  <c r="N142"/>
  <c r="J142"/>
  <c r="U142" s="1"/>
  <c r="N141"/>
  <c r="J141"/>
  <c r="U141" s="1"/>
  <c r="N140"/>
  <c r="J140"/>
  <c r="U140" s="1"/>
  <c r="U139"/>
  <c r="N139"/>
  <c r="J139"/>
  <c r="N138"/>
  <c r="J138"/>
  <c r="U138" s="1"/>
  <c r="N137"/>
  <c r="J137"/>
  <c r="U137" s="1"/>
  <c r="N136"/>
  <c r="J136"/>
  <c r="U136" s="1"/>
  <c r="N135"/>
  <c r="J135"/>
  <c r="U135" s="1"/>
  <c r="N134"/>
  <c r="J134"/>
  <c r="U134" s="1"/>
  <c r="N133"/>
  <c r="J133"/>
  <c r="U133" s="1"/>
  <c r="N132"/>
  <c r="J132"/>
  <c r="U132" s="1"/>
  <c r="N131"/>
  <c r="J131"/>
  <c r="U131" s="1"/>
  <c r="N130"/>
  <c r="J130"/>
  <c r="U130" s="1"/>
  <c r="N129"/>
  <c r="J129"/>
  <c r="U129" s="1"/>
  <c r="N128"/>
  <c r="J128"/>
  <c r="U128" s="1"/>
  <c r="N127"/>
  <c r="J127"/>
  <c r="U127" s="1"/>
  <c r="N126"/>
  <c r="J126"/>
  <c r="U126" s="1"/>
  <c r="N125"/>
  <c r="J125"/>
  <c r="U125" s="1"/>
  <c r="N124"/>
  <c r="J124"/>
  <c r="U124" s="1"/>
  <c r="N123"/>
  <c r="J123"/>
  <c r="U123" s="1"/>
  <c r="N122"/>
  <c r="J122"/>
  <c r="U122" s="1"/>
  <c r="N121"/>
  <c r="J121"/>
  <c r="U121" s="1"/>
  <c r="N120"/>
  <c r="J120"/>
  <c r="U120" s="1"/>
  <c r="N119"/>
  <c r="J119"/>
  <c r="U119" s="1"/>
  <c r="N118"/>
  <c r="J118"/>
  <c r="U118" s="1"/>
  <c r="N117"/>
  <c r="J117"/>
  <c r="U117" s="1"/>
  <c r="N116"/>
  <c r="J116"/>
  <c r="U116" s="1"/>
  <c r="U115"/>
  <c r="N115"/>
  <c r="J115"/>
  <c r="N114"/>
  <c r="J114"/>
  <c r="U114" s="1"/>
  <c r="N113"/>
  <c r="J113"/>
  <c r="U113" s="1"/>
  <c r="N112"/>
  <c r="J112"/>
  <c r="U112" s="1"/>
  <c r="N111"/>
  <c r="J111"/>
  <c r="U111" s="1"/>
  <c r="N110"/>
  <c r="J110"/>
  <c r="U110" s="1"/>
  <c r="N109"/>
  <c r="J109"/>
  <c r="U109" s="1"/>
  <c r="N108"/>
  <c r="J108"/>
  <c r="U108" s="1"/>
  <c r="U107"/>
  <c r="N107"/>
  <c r="J107"/>
  <c r="N106"/>
  <c r="J106"/>
  <c r="U106" s="1"/>
  <c r="N105"/>
  <c r="J105"/>
  <c r="U105" s="1"/>
  <c r="N104"/>
  <c r="J104"/>
  <c r="U104" s="1"/>
  <c r="N103"/>
  <c r="J103"/>
  <c r="U103" s="1"/>
  <c r="N102"/>
  <c r="J102"/>
  <c r="U102" s="1"/>
  <c r="N101"/>
  <c r="J101"/>
  <c r="U101" s="1"/>
  <c r="U100"/>
  <c r="N100"/>
  <c r="J100"/>
  <c r="N99"/>
  <c r="J99"/>
  <c r="U99" s="1"/>
  <c r="N98"/>
  <c r="J98"/>
  <c r="U98" s="1"/>
  <c r="N97"/>
  <c r="J97"/>
  <c r="U97" s="1"/>
  <c r="N96"/>
  <c r="J96"/>
  <c r="U96" s="1"/>
  <c r="N95"/>
  <c r="J95"/>
  <c r="U95" s="1"/>
  <c r="N94"/>
  <c r="J94"/>
  <c r="U94" s="1"/>
  <c r="N93"/>
  <c r="J93"/>
  <c r="U93" s="1"/>
  <c r="N92"/>
  <c r="J92"/>
  <c r="U92" s="1"/>
  <c r="U91"/>
  <c r="N91"/>
  <c r="J91"/>
  <c r="N90"/>
  <c r="J90"/>
  <c r="U90" s="1"/>
  <c r="N89"/>
  <c r="J89"/>
  <c r="U89" s="1"/>
  <c r="N88"/>
  <c r="J88"/>
  <c r="U88" s="1"/>
  <c r="N87"/>
  <c r="J87"/>
  <c r="U87" s="1"/>
  <c r="N86"/>
  <c r="J86"/>
  <c r="U86" s="1"/>
  <c r="N85"/>
  <c r="J85"/>
  <c r="U85" s="1"/>
  <c r="U84"/>
  <c r="N84"/>
  <c r="J84"/>
  <c r="N83"/>
  <c r="J83"/>
  <c r="U83" s="1"/>
  <c r="N82"/>
  <c r="J82"/>
  <c r="U82" s="1"/>
  <c r="N81"/>
  <c r="J81"/>
  <c r="U81" s="1"/>
  <c r="N80"/>
  <c r="J80"/>
  <c r="U80" s="1"/>
  <c r="N79"/>
  <c r="J79"/>
  <c r="U79" s="1"/>
  <c r="N78"/>
  <c r="J78"/>
  <c r="U78" s="1"/>
  <c r="N77"/>
  <c r="J77"/>
  <c r="U77" s="1"/>
  <c r="N76"/>
  <c r="J76"/>
  <c r="U76" s="1"/>
  <c r="U75"/>
  <c r="N75"/>
  <c r="J75"/>
  <c r="N74"/>
  <c r="J74"/>
  <c r="U74" s="1"/>
  <c r="N73"/>
  <c r="J73"/>
  <c r="U73" s="1"/>
  <c r="N72"/>
  <c r="J72"/>
  <c r="U72" s="1"/>
  <c r="N71"/>
  <c r="J71"/>
  <c r="U71" s="1"/>
  <c r="N70"/>
  <c r="J70"/>
  <c r="U70" s="1"/>
  <c r="N69"/>
  <c r="J69"/>
  <c r="U69" s="1"/>
  <c r="U68"/>
  <c r="N68"/>
  <c r="J68"/>
  <c r="N67"/>
  <c r="J67"/>
  <c r="U67" s="1"/>
  <c r="N66"/>
  <c r="J66"/>
  <c r="U66" s="1"/>
  <c r="N65"/>
  <c r="J65"/>
  <c r="U65" s="1"/>
  <c r="N64"/>
  <c r="J64"/>
  <c r="U64" s="1"/>
  <c r="N63"/>
  <c r="J63"/>
  <c r="U63" s="1"/>
  <c r="N62"/>
  <c r="J62"/>
  <c r="U62" s="1"/>
  <c r="N61"/>
  <c r="J61"/>
  <c r="U61" s="1"/>
  <c r="N60"/>
  <c r="J60"/>
  <c r="U60" s="1"/>
  <c r="U59"/>
  <c r="N59"/>
  <c r="J59"/>
  <c r="N58"/>
  <c r="J58"/>
  <c r="U58" s="1"/>
  <c r="N57"/>
  <c r="J57"/>
  <c r="U57" s="1"/>
  <c r="N56"/>
  <c r="J56"/>
  <c r="U56" s="1"/>
  <c r="N55"/>
  <c r="J55"/>
  <c r="U55" s="1"/>
  <c r="N54"/>
  <c r="J54"/>
  <c r="U54" s="1"/>
  <c r="N53"/>
  <c r="J53"/>
  <c r="U53" s="1"/>
  <c r="U52"/>
  <c r="N52"/>
  <c r="J52"/>
  <c r="N51"/>
  <c r="J51"/>
  <c r="U51" s="1"/>
  <c r="N50"/>
  <c r="J50"/>
  <c r="U50" s="1"/>
  <c r="N49"/>
  <c r="J49"/>
  <c r="U49" s="1"/>
  <c r="N48"/>
  <c r="J48"/>
  <c r="U48" s="1"/>
  <c r="N47"/>
  <c r="J47"/>
  <c r="U47" s="1"/>
  <c r="N46"/>
  <c r="J46"/>
  <c r="U46" s="1"/>
  <c r="N45"/>
  <c r="J45"/>
  <c r="U45" s="1"/>
  <c r="N44"/>
  <c r="J44"/>
  <c r="U44" s="1"/>
  <c r="U43"/>
  <c r="N43"/>
  <c r="J43"/>
  <c r="N42"/>
  <c r="J42"/>
  <c r="U42" s="1"/>
  <c r="N41"/>
  <c r="J41"/>
  <c r="U41" s="1"/>
  <c r="N40"/>
  <c r="J40"/>
  <c r="U40" s="1"/>
  <c r="N39"/>
  <c r="J39"/>
  <c r="U39" s="1"/>
  <c r="N38"/>
  <c r="J38"/>
  <c r="U38" s="1"/>
  <c r="N37"/>
  <c r="J37"/>
  <c r="U37" s="1"/>
  <c r="U36"/>
  <c r="N36"/>
  <c r="J36"/>
  <c r="N35"/>
  <c r="J35"/>
  <c r="U35" s="1"/>
  <c r="N34"/>
  <c r="J34"/>
  <c r="U34" s="1"/>
  <c r="N33"/>
  <c r="J33"/>
  <c r="U33" s="1"/>
  <c r="N32"/>
  <c r="J32"/>
  <c r="U32" s="1"/>
  <c r="N31"/>
  <c r="J31"/>
  <c r="U31" s="1"/>
  <c r="N30"/>
  <c r="J30"/>
  <c r="U30" s="1"/>
  <c r="N29"/>
  <c r="J29"/>
  <c r="U29" s="1"/>
  <c r="N28"/>
  <c r="J28"/>
  <c r="U28" s="1"/>
  <c r="U27"/>
  <c r="N27"/>
  <c r="J27"/>
  <c r="N26"/>
  <c r="J26"/>
  <c r="U26" s="1"/>
  <c r="N25"/>
  <c r="J25"/>
  <c r="U25" s="1"/>
  <c r="N24"/>
  <c r="J24"/>
  <c r="U24" s="1"/>
  <c r="N23"/>
  <c r="J23"/>
  <c r="U23" s="1"/>
  <c r="N22"/>
  <c r="J22"/>
  <c r="U22" s="1"/>
  <c r="N21"/>
  <c r="J21"/>
  <c r="U21" s="1"/>
  <c r="U20"/>
  <c r="N20"/>
  <c r="J20"/>
  <c r="N19"/>
  <c r="J19"/>
  <c r="U19" s="1"/>
  <c r="N18"/>
  <c r="J18"/>
  <c r="U18" s="1"/>
  <c r="N17"/>
  <c r="J17"/>
  <c r="U17" s="1"/>
  <c r="N16"/>
  <c r="J16"/>
  <c r="U16" s="1"/>
  <c r="N15"/>
  <c r="J15"/>
  <c r="U15" s="1"/>
  <c r="N14"/>
  <c r="J14"/>
  <c r="U14" s="1"/>
  <c r="N13"/>
  <c r="J13"/>
  <c r="U13" s="1"/>
  <c r="N12"/>
  <c r="J12"/>
  <c r="U12" s="1"/>
  <c r="U11"/>
  <c r="N11"/>
  <c r="J11"/>
  <c r="N10"/>
  <c r="J10"/>
  <c r="U10" s="1"/>
  <c r="N9"/>
  <c r="J9"/>
  <c r="U9" s="1"/>
  <c r="N8"/>
  <c r="J8"/>
  <c r="U8" s="1"/>
  <c r="N7"/>
  <c r="J7"/>
  <c r="U7" s="1"/>
  <c r="N6"/>
  <c r="J6"/>
  <c r="U6" s="1"/>
  <c r="N5"/>
  <c r="J5"/>
  <c r="U5" s="1"/>
  <c r="U4"/>
  <c r="N4"/>
  <c r="J4"/>
  <c r="N3"/>
  <c r="J3"/>
  <c r="U3" s="1"/>
  <c r="N2"/>
  <c r="J2"/>
  <c r="U2" s="1"/>
  <c r="F19" i="6"/>
  <c r="E19"/>
  <c r="F13"/>
  <c r="E13"/>
  <c r="F7"/>
  <c r="E7"/>
  <c r="F20" l="1"/>
  <c r="E20"/>
  <c r="I426" i="2"/>
  <c r="J426" s="1"/>
  <c r="I425"/>
  <c r="J425" s="1"/>
  <c r="I424"/>
  <c r="J424" s="1"/>
  <c r="I423"/>
  <c r="J423" s="1"/>
  <c r="I422"/>
  <c r="J422" s="1"/>
  <c r="I421"/>
  <c r="J421" s="1"/>
  <c r="I420"/>
  <c r="J420" s="1"/>
  <c r="I419"/>
  <c r="J419" s="1"/>
  <c r="I418"/>
  <c r="J418" s="1"/>
  <c r="I417"/>
  <c r="J417" s="1"/>
  <c r="I416"/>
  <c r="J416" s="1"/>
  <c r="I415"/>
  <c r="J415" s="1"/>
  <c r="I414"/>
  <c r="J414" s="1"/>
  <c r="I413"/>
  <c r="J413" s="1"/>
  <c r="I412"/>
  <c r="J412" s="1"/>
  <c r="I411"/>
  <c r="J411" s="1"/>
  <c r="I410"/>
  <c r="J410" s="1"/>
  <c r="I409"/>
  <c r="J409" s="1"/>
  <c r="J408"/>
  <c r="I408"/>
  <c r="I407"/>
  <c r="J407" s="1"/>
  <c r="I406"/>
  <c r="J406" s="1"/>
  <c r="I405"/>
  <c r="J405" s="1"/>
  <c r="I404"/>
  <c r="J404" s="1"/>
  <c r="J403"/>
  <c r="I403"/>
  <c r="I402"/>
  <c r="J402" s="1"/>
  <c r="I401"/>
  <c r="J401" s="1"/>
  <c r="J400"/>
  <c r="I400"/>
  <c r="I399"/>
  <c r="J399" s="1"/>
  <c r="I398"/>
  <c r="J398" s="1"/>
  <c r="I397"/>
  <c r="J397" s="1"/>
  <c r="I396"/>
  <c r="J396" s="1"/>
  <c r="I395"/>
  <c r="J395" s="1"/>
  <c r="I394"/>
  <c r="J394" s="1"/>
  <c r="I393"/>
  <c r="J393" s="1"/>
  <c r="I392"/>
  <c r="J392" s="1"/>
  <c r="I391"/>
  <c r="J391" s="1"/>
  <c r="I390"/>
  <c r="J390" s="1"/>
  <c r="I389"/>
  <c r="J389" s="1"/>
  <c r="I388"/>
  <c r="J388" s="1"/>
  <c r="J387"/>
  <c r="I387"/>
  <c r="I386"/>
  <c r="J386" s="1"/>
  <c r="I385"/>
  <c r="J385" s="1"/>
  <c r="J384"/>
  <c r="I384"/>
  <c r="I383"/>
  <c r="J383" s="1"/>
  <c r="I382"/>
  <c r="J382" s="1"/>
  <c r="I381"/>
  <c r="J381" s="1"/>
  <c r="I380"/>
  <c r="J380" s="1"/>
  <c r="I379"/>
  <c r="J379" s="1"/>
  <c r="I378"/>
  <c r="J378" s="1"/>
  <c r="I377"/>
  <c r="J377" s="1"/>
  <c r="I376"/>
  <c r="J376" s="1"/>
  <c r="I375"/>
  <c r="J375" s="1"/>
  <c r="I374"/>
  <c r="J374" s="1"/>
  <c r="I373"/>
  <c r="J373" s="1"/>
  <c r="I372"/>
  <c r="J372" s="1"/>
  <c r="J371"/>
  <c r="I371"/>
  <c r="I370"/>
  <c r="J370" s="1"/>
  <c r="I369"/>
  <c r="J369" s="1"/>
  <c r="J368"/>
  <c r="I368"/>
  <c r="I367"/>
  <c r="J367" s="1"/>
  <c r="I366"/>
  <c r="J366" s="1"/>
  <c r="I365"/>
  <c r="J365" s="1"/>
  <c r="I364"/>
  <c r="J364" s="1"/>
  <c r="J363"/>
  <c r="I363"/>
  <c r="I362"/>
  <c r="J362" s="1"/>
  <c r="I361"/>
  <c r="J361" s="1"/>
  <c r="J360"/>
  <c r="I360"/>
  <c r="I359"/>
  <c r="J359" s="1"/>
  <c r="I358"/>
  <c r="J358" s="1"/>
  <c r="I357"/>
  <c r="J357" s="1"/>
  <c r="I356"/>
  <c r="J356" s="1"/>
  <c r="J355"/>
  <c r="I355"/>
  <c r="I354"/>
  <c r="J354" s="1"/>
  <c r="I353"/>
  <c r="J353" s="1"/>
  <c r="J352"/>
  <c r="I352"/>
  <c r="I351"/>
  <c r="J351" s="1"/>
  <c r="I350"/>
  <c r="J350" s="1"/>
  <c r="I349"/>
  <c r="J349" s="1"/>
  <c r="I348"/>
  <c r="J348" s="1"/>
  <c r="J347"/>
  <c r="I347"/>
  <c r="I346"/>
  <c r="J346" s="1"/>
  <c r="I345"/>
  <c r="J345" s="1"/>
  <c r="J344"/>
  <c r="I344"/>
  <c r="I343"/>
  <c r="J343" s="1"/>
  <c r="I342"/>
  <c r="J342" s="1"/>
  <c r="I341"/>
  <c r="J341" s="1"/>
  <c r="I340"/>
  <c r="J340" s="1"/>
  <c r="J339"/>
  <c r="I339"/>
  <c r="I338"/>
  <c r="J338" s="1"/>
  <c r="I337"/>
  <c r="J337" s="1"/>
  <c r="J336"/>
  <c r="I336"/>
  <c r="I335"/>
  <c r="J335" s="1"/>
  <c r="I334"/>
  <c r="J334" s="1"/>
  <c r="I333"/>
  <c r="J333" s="1"/>
  <c r="I332"/>
  <c r="J332" s="1"/>
  <c r="J331"/>
  <c r="I331"/>
  <c r="I330"/>
  <c r="J330" s="1"/>
  <c r="I329"/>
  <c r="J329" s="1"/>
  <c r="J328"/>
  <c r="I328"/>
  <c r="I327"/>
  <c r="J327" s="1"/>
  <c r="I326"/>
  <c r="J326" s="1"/>
  <c r="I325"/>
  <c r="J325" s="1"/>
  <c r="I324"/>
  <c r="J324" s="1"/>
  <c r="J323"/>
  <c r="I323"/>
  <c r="I322"/>
  <c r="J322" s="1"/>
  <c r="I321"/>
  <c r="J321" s="1"/>
  <c r="J320"/>
  <c r="I319"/>
  <c r="J319" s="1"/>
  <c r="I318"/>
  <c r="J318" s="1"/>
  <c r="I317"/>
  <c r="J317" s="1"/>
  <c r="I316"/>
  <c r="J316" s="1"/>
  <c r="I315"/>
  <c r="J315" s="1"/>
  <c r="I314"/>
  <c r="J314" s="1"/>
  <c r="I313"/>
  <c r="J313" s="1"/>
  <c r="I312"/>
  <c r="J312" s="1"/>
  <c r="I311"/>
  <c r="J311" s="1"/>
  <c r="I310"/>
  <c r="J310" s="1"/>
  <c r="I309"/>
  <c r="J309" s="1"/>
  <c r="I308"/>
  <c r="J308" s="1"/>
  <c r="I307"/>
  <c r="J307" s="1"/>
  <c r="I306"/>
  <c r="J306" s="1"/>
  <c r="I305"/>
  <c r="J305" s="1"/>
  <c r="I304"/>
  <c r="J304" s="1"/>
  <c r="I303"/>
  <c r="J303" s="1"/>
  <c r="J302"/>
  <c r="I301"/>
  <c r="J301" s="1"/>
  <c r="J300"/>
  <c r="I299"/>
  <c r="J299" s="1"/>
  <c r="J298"/>
  <c r="I298"/>
  <c r="I297"/>
  <c r="J297" s="1"/>
  <c r="I296"/>
  <c r="J296" s="1"/>
  <c r="J295"/>
  <c r="I295"/>
  <c r="I294"/>
  <c r="J294" s="1"/>
  <c r="I293"/>
  <c r="J293" s="1"/>
  <c r="I292"/>
  <c r="J292" s="1"/>
  <c r="I291"/>
  <c r="J291" s="1"/>
  <c r="J290"/>
  <c r="I290"/>
  <c r="I289"/>
  <c r="J289" s="1"/>
  <c r="I288"/>
  <c r="J288" s="1"/>
  <c r="J287"/>
  <c r="I287"/>
  <c r="I286"/>
  <c r="J286" s="1"/>
  <c r="I285"/>
  <c r="J285" s="1"/>
  <c r="I284"/>
  <c r="J284" s="1"/>
  <c r="I283"/>
  <c r="J283" s="1"/>
  <c r="J282"/>
  <c r="I282"/>
  <c r="I281"/>
  <c r="J281" s="1"/>
  <c r="I280"/>
  <c r="J280" s="1"/>
  <c r="J279"/>
  <c r="I279"/>
  <c r="I278"/>
  <c r="J278" s="1"/>
  <c r="J277"/>
  <c r="I276"/>
  <c r="J276" s="1"/>
  <c r="I275"/>
  <c r="J275" s="1"/>
  <c r="I274"/>
  <c r="J274" s="1"/>
  <c r="I273"/>
  <c r="J273" s="1"/>
  <c r="I272"/>
  <c r="J272" s="1"/>
  <c r="I271"/>
  <c r="J271" s="1"/>
  <c r="I270"/>
  <c r="J270" s="1"/>
  <c r="I269"/>
  <c r="J269" s="1"/>
  <c r="I268"/>
  <c r="J268" s="1"/>
  <c r="I267"/>
  <c r="J267" s="1"/>
  <c r="I266"/>
  <c r="J266" s="1"/>
  <c r="I265"/>
  <c r="J265" s="1"/>
  <c r="I264"/>
  <c r="J264" s="1"/>
  <c r="I263"/>
  <c r="J263" s="1"/>
  <c r="I262"/>
  <c r="J262" s="1"/>
  <c r="I261"/>
  <c r="J261" s="1"/>
  <c r="I260"/>
  <c r="J260" s="1"/>
  <c r="I259"/>
  <c r="J259" s="1"/>
  <c r="I258"/>
  <c r="J258" s="1"/>
  <c r="I257"/>
  <c r="J257" s="1"/>
  <c r="I256"/>
  <c r="J256" s="1"/>
  <c r="I255"/>
  <c r="J255" s="1"/>
  <c r="I254"/>
  <c r="J254" s="1"/>
  <c r="I253"/>
  <c r="J253" s="1"/>
  <c r="I252"/>
  <c r="J252" s="1"/>
  <c r="I251"/>
  <c r="J251" s="1"/>
  <c r="I250"/>
  <c r="J250" s="1"/>
  <c r="I249"/>
  <c r="J249" s="1"/>
  <c r="I248"/>
  <c r="J248" s="1"/>
  <c r="I247"/>
  <c r="J247" s="1"/>
  <c r="I246"/>
  <c r="J246" s="1"/>
  <c r="I245"/>
  <c r="J245" s="1"/>
  <c r="I244"/>
  <c r="J244" s="1"/>
  <c r="I243"/>
  <c r="J243" s="1"/>
  <c r="I242"/>
  <c r="J242" s="1"/>
  <c r="I241"/>
  <c r="J241" s="1"/>
  <c r="I240"/>
  <c r="J240" s="1"/>
  <c r="I239"/>
  <c r="J239" s="1"/>
  <c r="I238"/>
  <c r="J238" s="1"/>
  <c r="I237"/>
  <c r="J237" s="1"/>
  <c r="I236"/>
  <c r="J236" s="1"/>
  <c r="I235"/>
  <c r="J235" s="1"/>
  <c r="I234"/>
  <c r="J234" s="1"/>
  <c r="I233"/>
  <c r="J233" s="1"/>
  <c r="I232"/>
  <c r="J232" s="1"/>
  <c r="I231"/>
  <c r="J231" s="1"/>
  <c r="I230"/>
  <c r="J230" s="1"/>
  <c r="I229"/>
  <c r="J229" s="1"/>
  <c r="I228"/>
  <c r="J228" s="1"/>
  <c r="I227"/>
  <c r="J227" s="1"/>
  <c r="I226"/>
  <c r="J226" s="1"/>
  <c r="I225"/>
  <c r="J225" s="1"/>
  <c r="I224"/>
  <c r="J224" s="1"/>
  <c r="I223"/>
  <c r="J223" s="1"/>
  <c r="I222"/>
  <c r="J222" s="1"/>
  <c r="I221"/>
  <c r="J221" s="1"/>
  <c r="I220"/>
  <c r="J220" s="1"/>
  <c r="I219"/>
  <c r="J219" s="1"/>
  <c r="I218"/>
  <c r="J218" s="1"/>
  <c r="I217"/>
  <c r="J217" s="1"/>
  <c r="I216"/>
  <c r="J216" s="1"/>
  <c r="I215"/>
  <c r="J215" s="1"/>
  <c r="I214"/>
  <c r="J214" s="1"/>
  <c r="I213"/>
  <c r="J213" s="1"/>
  <c r="I212"/>
  <c r="J212" s="1"/>
  <c r="I211"/>
  <c r="J211" s="1"/>
  <c r="I210"/>
  <c r="J210" s="1"/>
  <c r="I209"/>
  <c r="J209" s="1"/>
  <c r="I208"/>
  <c r="J208" s="1"/>
  <c r="I207"/>
  <c r="J207" s="1"/>
  <c r="I206"/>
  <c r="J206" s="1"/>
  <c r="I205"/>
  <c r="J205" s="1"/>
  <c r="I204"/>
  <c r="J204" s="1"/>
  <c r="I203"/>
  <c r="J203" s="1"/>
  <c r="I202"/>
  <c r="J202" s="1"/>
  <c r="I201"/>
  <c r="J201" s="1"/>
  <c r="I200"/>
  <c r="J200" s="1"/>
  <c r="I199"/>
  <c r="J199" s="1"/>
  <c r="J198"/>
  <c r="J197"/>
  <c r="I197"/>
  <c r="I196"/>
  <c r="J196" s="1"/>
  <c r="I195"/>
  <c r="J195" s="1"/>
  <c r="I194"/>
  <c r="J194" s="1"/>
  <c r="I193"/>
  <c r="J193" s="1"/>
  <c r="J192"/>
  <c r="I192"/>
  <c r="I191"/>
  <c r="J191" s="1"/>
  <c r="I190"/>
  <c r="J190" s="1"/>
  <c r="J189"/>
  <c r="I189"/>
  <c r="I188"/>
  <c r="J188" s="1"/>
  <c r="I187"/>
  <c r="J187" s="1"/>
  <c r="I186"/>
  <c r="J186" s="1"/>
  <c r="I185"/>
  <c r="J185" s="1"/>
  <c r="J184"/>
  <c r="I184"/>
  <c r="I183"/>
  <c r="J183" s="1"/>
  <c r="J182"/>
  <c r="J181"/>
  <c r="I181"/>
  <c r="I180"/>
  <c r="J180" s="1"/>
  <c r="I179"/>
  <c r="J179" s="1"/>
  <c r="J178"/>
  <c r="I178"/>
  <c r="I177"/>
  <c r="J177" s="1"/>
  <c r="I176"/>
  <c r="J176" s="1"/>
  <c r="I175"/>
  <c r="J175" s="1"/>
  <c r="I174"/>
  <c r="J174" s="1"/>
  <c r="J173"/>
  <c r="I173"/>
  <c r="I172"/>
  <c r="J172" s="1"/>
  <c r="I171"/>
  <c r="J171" s="1"/>
  <c r="J170"/>
  <c r="I170"/>
  <c r="I169"/>
  <c r="J169" s="1"/>
  <c r="I168"/>
  <c r="J168" s="1"/>
  <c r="I167"/>
  <c r="J167" s="1"/>
  <c r="I166"/>
  <c r="J166" s="1"/>
  <c r="J165"/>
  <c r="I165"/>
  <c r="I164"/>
  <c r="J164" s="1"/>
  <c r="I163"/>
  <c r="J163" s="1"/>
  <c r="J162"/>
  <c r="I162"/>
  <c r="I161"/>
  <c r="J161" s="1"/>
  <c r="I160"/>
  <c r="J160" s="1"/>
  <c r="I159"/>
  <c r="J159" s="1"/>
  <c r="I158"/>
  <c r="J158" s="1"/>
  <c r="J157"/>
  <c r="I157"/>
  <c r="I156"/>
  <c r="J156" s="1"/>
  <c r="I155"/>
  <c r="J155" s="1"/>
  <c r="J154"/>
  <c r="I154"/>
  <c r="I153"/>
  <c r="J153" s="1"/>
  <c r="I152"/>
  <c r="J152" s="1"/>
  <c r="I151"/>
  <c r="J151" s="1"/>
  <c r="I150"/>
  <c r="J150" s="1"/>
  <c r="J149"/>
  <c r="I149"/>
  <c r="I148"/>
  <c r="J148" s="1"/>
  <c r="I147"/>
  <c r="J147" s="1"/>
  <c r="J146"/>
  <c r="I146"/>
  <c r="I145"/>
  <c r="J145" s="1"/>
  <c r="I144"/>
  <c r="J144" s="1"/>
  <c r="I143"/>
  <c r="J143" s="1"/>
  <c r="I142"/>
  <c r="J142" s="1"/>
  <c r="J141"/>
  <c r="I141"/>
  <c r="I140"/>
  <c r="J140" s="1"/>
  <c r="I139"/>
  <c r="J139" s="1"/>
  <c r="J138"/>
  <c r="I138"/>
  <c r="I137"/>
  <c r="J137" s="1"/>
  <c r="I136"/>
  <c r="J136" s="1"/>
  <c r="I135"/>
  <c r="J135" s="1"/>
  <c r="I134"/>
  <c r="J134" s="1"/>
  <c r="J133"/>
  <c r="I133"/>
  <c r="I132"/>
  <c r="J132" s="1"/>
  <c r="I131"/>
  <c r="J131" s="1"/>
  <c r="J130"/>
  <c r="I130"/>
  <c r="I129"/>
  <c r="J129" s="1"/>
  <c r="I128"/>
  <c r="J128" s="1"/>
  <c r="I127"/>
  <c r="J127" s="1"/>
  <c r="I126"/>
  <c r="J126" s="1"/>
  <c r="J125"/>
  <c r="I125"/>
  <c r="I124"/>
  <c r="J124" s="1"/>
  <c r="I123"/>
  <c r="J123" s="1"/>
  <c r="J122"/>
  <c r="I122"/>
  <c r="I121"/>
  <c r="J121" s="1"/>
  <c r="I120"/>
  <c r="J120" s="1"/>
  <c r="I119"/>
  <c r="J119" s="1"/>
  <c r="I118"/>
  <c r="J118" s="1"/>
  <c r="J117"/>
  <c r="I117"/>
  <c r="I116"/>
  <c r="J116" s="1"/>
  <c r="I115"/>
  <c r="J115" s="1"/>
  <c r="J114"/>
  <c r="I114"/>
  <c r="I113"/>
  <c r="J113" s="1"/>
  <c r="I112"/>
  <c r="J112" s="1"/>
  <c r="I111"/>
  <c r="J111" s="1"/>
  <c r="I110"/>
  <c r="J110" s="1"/>
  <c r="J109"/>
  <c r="I109"/>
  <c r="I108"/>
  <c r="J108" s="1"/>
  <c r="I107"/>
  <c r="J107" s="1"/>
  <c r="J106"/>
  <c r="I106"/>
  <c r="I105"/>
  <c r="J105" s="1"/>
  <c r="I104"/>
  <c r="J104" s="1"/>
  <c r="I103"/>
  <c r="J103" s="1"/>
  <c r="I102"/>
  <c r="J102" s="1"/>
  <c r="J101"/>
  <c r="I100"/>
  <c r="J100" s="1"/>
  <c r="I99"/>
  <c r="J99" s="1"/>
  <c r="J98"/>
  <c r="I98"/>
  <c r="I97"/>
  <c r="J97" s="1"/>
  <c r="I96"/>
  <c r="J96" s="1"/>
  <c r="J95"/>
  <c r="I95"/>
  <c r="I94"/>
  <c r="J94" s="1"/>
  <c r="I93"/>
  <c r="J93" s="1"/>
  <c r="I92"/>
  <c r="J92" s="1"/>
  <c r="I91"/>
  <c r="J91" s="1"/>
  <c r="J90"/>
  <c r="I90"/>
  <c r="I89"/>
  <c r="J89" s="1"/>
  <c r="I88"/>
  <c r="J88" s="1"/>
  <c r="J87"/>
  <c r="I87"/>
  <c r="I86"/>
  <c r="J86" s="1"/>
  <c r="I85"/>
  <c r="J85" s="1"/>
  <c r="I84"/>
  <c r="J84" s="1"/>
  <c r="I83"/>
  <c r="J83" s="1"/>
  <c r="J82"/>
  <c r="I82"/>
  <c r="I81"/>
  <c r="J81" s="1"/>
  <c r="I80"/>
  <c r="J80" s="1"/>
  <c r="J79"/>
  <c r="I79"/>
  <c r="I78"/>
  <c r="J78" s="1"/>
  <c r="I77"/>
  <c r="J77" s="1"/>
  <c r="I76"/>
  <c r="J76" s="1"/>
  <c r="I75"/>
  <c r="J75" s="1"/>
  <c r="J74"/>
  <c r="I74"/>
  <c r="I73"/>
  <c r="J73" s="1"/>
  <c r="I72"/>
  <c r="J72" s="1"/>
  <c r="J71"/>
  <c r="I71"/>
  <c r="I70"/>
  <c r="J70" s="1"/>
  <c r="I69"/>
  <c r="J69" s="1"/>
  <c r="I68"/>
  <c r="J68" s="1"/>
  <c r="I67"/>
  <c r="J67" s="1"/>
  <c r="J66"/>
  <c r="I66"/>
  <c r="I65"/>
  <c r="J65" s="1"/>
  <c r="I64"/>
  <c r="J64" s="1"/>
  <c r="J63"/>
  <c r="I63"/>
  <c r="I62"/>
  <c r="J62" s="1"/>
  <c r="I61"/>
  <c r="J61" s="1"/>
  <c r="I60"/>
  <c r="J60" s="1"/>
  <c r="I59"/>
  <c r="J59" s="1"/>
  <c r="J58"/>
  <c r="I58"/>
  <c r="I57"/>
  <c r="J57" s="1"/>
  <c r="I56"/>
  <c r="J56" s="1"/>
  <c r="J55"/>
  <c r="I55"/>
  <c r="I54"/>
  <c r="J54" s="1"/>
  <c r="I53"/>
  <c r="J53" s="1"/>
  <c r="I52"/>
  <c r="J52" s="1"/>
  <c r="I51"/>
  <c r="J51" s="1"/>
  <c r="J50"/>
  <c r="I50"/>
  <c r="I49"/>
  <c r="J49" s="1"/>
  <c r="I48"/>
  <c r="J48" s="1"/>
  <c r="J47"/>
  <c r="I47"/>
  <c r="I46"/>
  <c r="J46" s="1"/>
  <c r="I45"/>
  <c r="J45" s="1"/>
  <c r="I44"/>
  <c r="J44" s="1"/>
  <c r="I43"/>
  <c r="J43" s="1"/>
  <c r="J42"/>
  <c r="I42"/>
  <c r="I41"/>
  <c r="J41" s="1"/>
  <c r="I40"/>
  <c r="J40" s="1"/>
  <c r="J39"/>
  <c r="I39"/>
  <c r="I38"/>
  <c r="J38" s="1"/>
  <c r="I37"/>
  <c r="J37" s="1"/>
  <c r="I36"/>
  <c r="J36" s="1"/>
  <c r="I35"/>
  <c r="J35" s="1"/>
  <c r="J34"/>
  <c r="I34"/>
  <c r="I33"/>
  <c r="J33" s="1"/>
  <c r="I32"/>
  <c r="J32" s="1"/>
  <c r="J31"/>
  <c r="I31"/>
  <c r="I30"/>
  <c r="J30" s="1"/>
  <c r="I29"/>
  <c r="J29" s="1"/>
  <c r="I28"/>
  <c r="J28" s="1"/>
  <c r="I27"/>
  <c r="J27" s="1"/>
  <c r="J26"/>
  <c r="I26"/>
  <c r="I25"/>
  <c r="J25" s="1"/>
  <c r="I24"/>
  <c r="J24" s="1"/>
  <c r="J23"/>
  <c r="I23"/>
  <c r="I22"/>
  <c r="J22" s="1"/>
  <c r="I21"/>
  <c r="J21" s="1"/>
  <c r="I20"/>
  <c r="J20" s="1"/>
  <c r="I19"/>
  <c r="J19" s="1"/>
  <c r="J18"/>
  <c r="I18"/>
  <c r="I17"/>
  <c r="J17" s="1"/>
  <c r="I16"/>
  <c r="J16" s="1"/>
  <c r="J15"/>
  <c r="I15"/>
  <c r="I14"/>
  <c r="J14" s="1"/>
  <c r="I13"/>
  <c r="J13" s="1"/>
  <c r="I12"/>
  <c r="J12" s="1"/>
  <c r="J2" i="1"/>
  <c r="N407" l="1"/>
  <c r="J407"/>
  <c r="U407" s="1"/>
  <c r="N406"/>
  <c r="J406"/>
  <c r="U406" s="1"/>
  <c r="N405"/>
  <c r="J405"/>
  <c r="U405" s="1"/>
  <c r="N404"/>
  <c r="J404"/>
  <c r="U404" s="1"/>
  <c r="N403"/>
  <c r="J403"/>
  <c r="U403" s="1"/>
  <c r="N402"/>
  <c r="J402"/>
  <c r="U402" s="1"/>
  <c r="N401"/>
  <c r="J401"/>
  <c r="U401" s="1"/>
  <c r="N400"/>
  <c r="J400"/>
  <c r="U400" s="1"/>
  <c r="N399"/>
  <c r="J399"/>
  <c r="U399" s="1"/>
  <c r="N398"/>
  <c r="J398"/>
  <c r="U398" s="1"/>
  <c r="N397"/>
  <c r="J397"/>
  <c r="U397" s="1"/>
  <c r="N396"/>
  <c r="J396"/>
  <c r="U396" s="1"/>
  <c r="N395"/>
  <c r="J395"/>
  <c r="U395" s="1"/>
  <c r="N394"/>
  <c r="J394"/>
  <c r="U394" s="1"/>
  <c r="N393"/>
  <c r="J393"/>
  <c r="U393" s="1"/>
  <c r="N392"/>
  <c r="J392"/>
  <c r="U392" s="1"/>
  <c r="N391"/>
  <c r="J391"/>
  <c r="U391" s="1"/>
  <c r="N390"/>
  <c r="J390"/>
  <c r="U390" s="1"/>
  <c r="N389"/>
  <c r="J389"/>
  <c r="U389" s="1"/>
  <c r="N388"/>
  <c r="J388"/>
  <c r="U388" s="1"/>
  <c r="N387"/>
  <c r="J387"/>
  <c r="U387" s="1"/>
  <c r="N386"/>
  <c r="J386"/>
  <c r="U386" s="1"/>
  <c r="N385"/>
  <c r="J385"/>
  <c r="U385" s="1"/>
  <c r="N384"/>
  <c r="J384"/>
  <c r="U384" s="1"/>
  <c r="N383"/>
  <c r="J383"/>
  <c r="U383" s="1"/>
  <c r="N382"/>
  <c r="J382"/>
  <c r="U382" s="1"/>
  <c r="N381"/>
  <c r="J381"/>
  <c r="U381" s="1"/>
  <c r="N380"/>
  <c r="J380"/>
  <c r="U380" s="1"/>
  <c r="N379"/>
  <c r="J379"/>
  <c r="U379" s="1"/>
  <c r="N378"/>
  <c r="J378"/>
  <c r="U378" s="1"/>
  <c r="N377"/>
  <c r="J377"/>
  <c r="U377" s="1"/>
  <c r="N376"/>
  <c r="J376"/>
  <c r="U376" s="1"/>
  <c r="N375"/>
  <c r="J375"/>
  <c r="U375" s="1"/>
  <c r="N374"/>
  <c r="J374"/>
  <c r="U374" s="1"/>
  <c r="N373"/>
  <c r="J373"/>
  <c r="U373" s="1"/>
  <c r="N372"/>
  <c r="J372"/>
  <c r="U372" s="1"/>
  <c r="N371"/>
  <c r="J371"/>
  <c r="U371" s="1"/>
  <c r="N370"/>
  <c r="J370"/>
  <c r="U370" s="1"/>
  <c r="N369"/>
  <c r="J369"/>
  <c r="U369" s="1"/>
  <c r="N368"/>
  <c r="J368"/>
  <c r="U368" s="1"/>
  <c r="N367"/>
  <c r="J367"/>
  <c r="U367" s="1"/>
  <c r="N366"/>
  <c r="J366"/>
  <c r="U366" s="1"/>
  <c r="N365"/>
  <c r="J365"/>
  <c r="U365" s="1"/>
  <c r="N364"/>
  <c r="J364"/>
  <c r="U364" s="1"/>
  <c r="N363"/>
  <c r="J363"/>
  <c r="U363" s="1"/>
  <c r="N362"/>
  <c r="J362"/>
  <c r="U362" s="1"/>
  <c r="N361"/>
  <c r="J361"/>
  <c r="U361" s="1"/>
  <c r="N360"/>
  <c r="J360"/>
  <c r="U360" s="1"/>
  <c r="N359"/>
  <c r="J359"/>
  <c r="U359" s="1"/>
  <c r="N358"/>
  <c r="J358"/>
  <c r="U358" s="1"/>
  <c r="N357"/>
  <c r="J357"/>
  <c r="U357" s="1"/>
  <c r="N356"/>
  <c r="J356"/>
  <c r="U356" s="1"/>
  <c r="N355"/>
  <c r="J355"/>
  <c r="U355" s="1"/>
  <c r="N354"/>
  <c r="J354"/>
  <c r="U354" s="1"/>
  <c r="N353"/>
  <c r="J353"/>
  <c r="U353" s="1"/>
  <c r="N352"/>
  <c r="J352"/>
  <c r="U352" s="1"/>
  <c r="N351"/>
  <c r="J351"/>
  <c r="U351" s="1"/>
  <c r="N350"/>
  <c r="J350"/>
  <c r="U350" s="1"/>
  <c r="N349"/>
  <c r="J349"/>
  <c r="U349" s="1"/>
  <c r="N348"/>
  <c r="J348"/>
  <c r="U348" s="1"/>
  <c r="N347"/>
  <c r="J347"/>
  <c r="U347" s="1"/>
  <c r="N346"/>
  <c r="J346"/>
  <c r="U346" s="1"/>
  <c r="N345"/>
  <c r="J345"/>
  <c r="U345" s="1"/>
  <c r="N344"/>
  <c r="J344"/>
  <c r="U344" s="1"/>
  <c r="N343"/>
  <c r="J343"/>
  <c r="U343" s="1"/>
  <c r="N342"/>
  <c r="J342"/>
  <c r="U342" s="1"/>
  <c r="N341"/>
  <c r="J341"/>
  <c r="U341" s="1"/>
  <c r="N340"/>
  <c r="J340"/>
  <c r="U340" s="1"/>
  <c r="N339"/>
  <c r="J339"/>
  <c r="U339" s="1"/>
  <c r="N338"/>
  <c r="J338"/>
  <c r="U338" s="1"/>
  <c r="N337"/>
  <c r="J337"/>
  <c r="U337" s="1"/>
  <c r="N336"/>
  <c r="J336"/>
  <c r="U336" s="1"/>
  <c r="N335"/>
  <c r="J335"/>
  <c r="U335" s="1"/>
  <c r="N334"/>
  <c r="J334"/>
  <c r="U334" s="1"/>
  <c r="N333"/>
  <c r="J333"/>
  <c r="U333" s="1"/>
  <c r="N332"/>
  <c r="J332"/>
  <c r="U332" s="1"/>
  <c r="N331"/>
  <c r="J331"/>
  <c r="U331" s="1"/>
  <c r="N330"/>
  <c r="J330"/>
  <c r="U330" s="1"/>
  <c r="N329"/>
  <c r="J329"/>
  <c r="U329" s="1"/>
  <c r="N328"/>
  <c r="J328"/>
  <c r="U328" s="1"/>
  <c r="N327"/>
  <c r="J327"/>
  <c r="U327" s="1"/>
  <c r="N326"/>
  <c r="J326"/>
  <c r="U326" s="1"/>
  <c r="N325"/>
  <c r="J325"/>
  <c r="U325" s="1"/>
  <c r="N324"/>
  <c r="J324"/>
  <c r="U324" s="1"/>
  <c r="N323"/>
  <c r="J323"/>
  <c r="U323" s="1"/>
  <c r="N322"/>
  <c r="J322"/>
  <c r="U322" s="1"/>
  <c r="N321"/>
  <c r="J321"/>
  <c r="U321" s="1"/>
  <c r="N320"/>
  <c r="J320"/>
  <c r="U320" s="1"/>
  <c r="N319"/>
  <c r="J319"/>
  <c r="U319" s="1"/>
  <c r="N318"/>
  <c r="J318"/>
  <c r="U318" s="1"/>
  <c r="N317"/>
  <c r="J317"/>
  <c r="U317" s="1"/>
  <c r="N316"/>
  <c r="J316"/>
  <c r="U316" s="1"/>
  <c r="N315"/>
  <c r="J315"/>
  <c r="U315" s="1"/>
  <c r="N314"/>
  <c r="J314"/>
  <c r="U314" s="1"/>
  <c r="N313"/>
  <c r="J313"/>
  <c r="U313" s="1"/>
  <c r="N312"/>
  <c r="J312"/>
  <c r="U312" s="1"/>
  <c r="N311"/>
  <c r="J311"/>
  <c r="U311" s="1"/>
  <c r="N310"/>
  <c r="J310"/>
  <c r="U310" s="1"/>
  <c r="N309"/>
  <c r="J309"/>
  <c r="U309" s="1"/>
  <c r="N308"/>
  <c r="J308"/>
  <c r="U308" s="1"/>
  <c r="N307"/>
  <c r="J307"/>
  <c r="U307" s="1"/>
  <c r="N306"/>
  <c r="J306"/>
  <c r="U306" s="1"/>
  <c r="N305"/>
  <c r="J305"/>
  <c r="U305" s="1"/>
  <c r="N304"/>
  <c r="J304"/>
  <c r="U304" s="1"/>
  <c r="N303"/>
  <c r="J303"/>
  <c r="U303" s="1"/>
  <c r="N302"/>
  <c r="J302"/>
  <c r="U302" s="1"/>
  <c r="N301"/>
  <c r="J301"/>
  <c r="U301" s="1"/>
  <c r="N300"/>
  <c r="J300"/>
  <c r="U300" s="1"/>
  <c r="N299"/>
  <c r="J299"/>
  <c r="U299" s="1"/>
  <c r="N298"/>
  <c r="J298"/>
  <c r="U298" s="1"/>
  <c r="N297"/>
  <c r="J297"/>
  <c r="U297" s="1"/>
  <c r="N296"/>
  <c r="J296"/>
  <c r="U296" s="1"/>
  <c r="N295"/>
  <c r="J295"/>
  <c r="U295" s="1"/>
  <c r="N294"/>
  <c r="J294"/>
  <c r="U294" s="1"/>
  <c r="N293"/>
  <c r="J293"/>
  <c r="U293" s="1"/>
  <c r="N292"/>
  <c r="J292"/>
  <c r="U292" s="1"/>
  <c r="N291"/>
  <c r="J291"/>
  <c r="U291" s="1"/>
  <c r="N290"/>
  <c r="J290"/>
  <c r="U290" s="1"/>
  <c r="N289"/>
  <c r="J289"/>
  <c r="U289" s="1"/>
  <c r="N288"/>
  <c r="J288"/>
  <c r="U288" s="1"/>
  <c r="N287"/>
  <c r="J287"/>
  <c r="U287" s="1"/>
  <c r="N286"/>
  <c r="J286"/>
  <c r="U286" s="1"/>
  <c r="N285"/>
  <c r="J285"/>
  <c r="U285" s="1"/>
  <c r="N284"/>
  <c r="J284"/>
  <c r="U284" s="1"/>
  <c r="N283"/>
  <c r="J283"/>
  <c r="U283" s="1"/>
  <c r="N282"/>
  <c r="J282"/>
  <c r="U282" s="1"/>
  <c r="N281"/>
  <c r="J281"/>
  <c r="U281" s="1"/>
  <c r="N280"/>
  <c r="J280"/>
  <c r="U280" s="1"/>
  <c r="N279"/>
  <c r="J279"/>
  <c r="U279" s="1"/>
  <c r="N278"/>
  <c r="J278"/>
  <c r="U278" s="1"/>
  <c r="N277"/>
  <c r="J277"/>
  <c r="U277" s="1"/>
  <c r="N276"/>
  <c r="J276"/>
  <c r="U276" s="1"/>
  <c r="N275"/>
  <c r="J275"/>
  <c r="U275" s="1"/>
  <c r="N274"/>
  <c r="J274"/>
  <c r="U274" s="1"/>
  <c r="N273"/>
  <c r="J273"/>
  <c r="U273" s="1"/>
  <c r="N272"/>
  <c r="J272"/>
  <c r="U272" s="1"/>
  <c r="N271"/>
  <c r="J271"/>
  <c r="U271" s="1"/>
  <c r="N270"/>
  <c r="J270"/>
  <c r="U270" s="1"/>
  <c r="N269"/>
  <c r="J269"/>
  <c r="U269" s="1"/>
  <c r="N268"/>
  <c r="J268"/>
  <c r="U268" s="1"/>
  <c r="N267"/>
  <c r="J267"/>
  <c r="U267" s="1"/>
  <c r="N266"/>
  <c r="J266"/>
  <c r="U266" s="1"/>
  <c r="N265"/>
  <c r="J265"/>
  <c r="U265" s="1"/>
  <c r="N264"/>
  <c r="J264"/>
  <c r="U264" s="1"/>
  <c r="N263"/>
  <c r="J263"/>
  <c r="U263" s="1"/>
  <c r="N262"/>
  <c r="J262"/>
  <c r="U262" s="1"/>
  <c r="N261"/>
  <c r="J261"/>
  <c r="U261" s="1"/>
  <c r="N260"/>
  <c r="J260"/>
  <c r="U260" s="1"/>
  <c r="N259"/>
  <c r="J259"/>
  <c r="U259" s="1"/>
  <c r="N258"/>
  <c r="J258"/>
  <c r="U258" s="1"/>
  <c r="N257"/>
  <c r="J257"/>
  <c r="U257" s="1"/>
  <c r="N256"/>
  <c r="J256"/>
  <c r="U256" s="1"/>
  <c r="N255"/>
  <c r="J255"/>
  <c r="U255" s="1"/>
  <c r="N254"/>
  <c r="J254"/>
  <c r="U254" s="1"/>
  <c r="N253"/>
  <c r="J253"/>
  <c r="U253" s="1"/>
  <c r="N252"/>
  <c r="J252"/>
  <c r="U252" s="1"/>
  <c r="N251"/>
  <c r="J251"/>
  <c r="U251" s="1"/>
  <c r="N250"/>
  <c r="J250"/>
  <c r="U250" s="1"/>
  <c r="N249"/>
  <c r="J249"/>
  <c r="U249" s="1"/>
  <c r="N248"/>
  <c r="J248"/>
  <c r="U248" s="1"/>
  <c r="N247"/>
  <c r="J247"/>
  <c r="U247" s="1"/>
  <c r="N246"/>
  <c r="J246"/>
  <c r="U246" s="1"/>
  <c r="N245"/>
  <c r="J245"/>
  <c r="U245" s="1"/>
  <c r="N244"/>
  <c r="J244"/>
  <c r="U244" s="1"/>
  <c r="N243"/>
  <c r="J243"/>
  <c r="U243" s="1"/>
  <c r="N242"/>
  <c r="J242"/>
  <c r="U242" s="1"/>
  <c r="N241"/>
  <c r="J241"/>
  <c r="U241" s="1"/>
  <c r="N240"/>
  <c r="J240"/>
  <c r="U240" s="1"/>
  <c r="N239"/>
  <c r="J239"/>
  <c r="U239" s="1"/>
  <c r="N238"/>
  <c r="J238"/>
  <c r="U238" s="1"/>
  <c r="N237"/>
  <c r="J237"/>
  <c r="U237" s="1"/>
  <c r="N236"/>
  <c r="J236"/>
  <c r="U236" s="1"/>
  <c r="N235"/>
  <c r="J235"/>
  <c r="U235" s="1"/>
  <c r="N234"/>
  <c r="J234"/>
  <c r="U234" s="1"/>
  <c r="N233"/>
  <c r="J233"/>
  <c r="U233" s="1"/>
  <c r="N232"/>
  <c r="J232"/>
  <c r="U232" s="1"/>
  <c r="N231"/>
  <c r="J231"/>
  <c r="U231" s="1"/>
  <c r="N230"/>
  <c r="J230"/>
  <c r="U230" s="1"/>
  <c r="N229"/>
  <c r="J229"/>
  <c r="U229" s="1"/>
  <c r="N228"/>
  <c r="J228"/>
  <c r="U228" s="1"/>
  <c r="N227"/>
  <c r="J227"/>
  <c r="U227" s="1"/>
  <c r="N226"/>
  <c r="J226"/>
  <c r="U226" s="1"/>
  <c r="N225"/>
  <c r="J225"/>
  <c r="U225" s="1"/>
  <c r="N224"/>
  <c r="J224"/>
  <c r="U224" s="1"/>
  <c r="N223"/>
  <c r="J223"/>
  <c r="U223" s="1"/>
  <c r="N222"/>
  <c r="J222"/>
  <c r="U222" s="1"/>
  <c r="N221"/>
  <c r="J221"/>
  <c r="U221" s="1"/>
  <c r="N220"/>
  <c r="J220"/>
  <c r="U220" s="1"/>
  <c r="N219"/>
  <c r="J219"/>
  <c r="U219" s="1"/>
  <c r="N218"/>
  <c r="J218"/>
  <c r="U218" s="1"/>
  <c r="N217"/>
  <c r="J217"/>
  <c r="U217" s="1"/>
  <c r="N216"/>
  <c r="J216"/>
  <c r="U216" s="1"/>
  <c r="N215"/>
  <c r="J215"/>
  <c r="U215" s="1"/>
  <c r="N214"/>
  <c r="J214"/>
  <c r="U214" s="1"/>
  <c r="N213"/>
  <c r="J213"/>
  <c r="U213" s="1"/>
  <c r="N212"/>
  <c r="J212"/>
  <c r="U212" s="1"/>
  <c r="N211"/>
  <c r="J211"/>
  <c r="U211" s="1"/>
  <c r="N210"/>
  <c r="J210"/>
  <c r="U210" s="1"/>
  <c r="N209"/>
  <c r="J209"/>
  <c r="U209" s="1"/>
  <c r="N208"/>
  <c r="J208"/>
  <c r="U208" s="1"/>
  <c r="N207"/>
  <c r="J207"/>
  <c r="U207" s="1"/>
  <c r="N206"/>
  <c r="J206"/>
  <c r="U206" s="1"/>
  <c r="N205"/>
  <c r="J205"/>
  <c r="U205" s="1"/>
  <c r="N204"/>
  <c r="J204"/>
  <c r="U204" s="1"/>
  <c r="N203"/>
  <c r="J203"/>
  <c r="U203" s="1"/>
  <c r="N202"/>
  <c r="J202"/>
  <c r="U202" s="1"/>
  <c r="N201"/>
  <c r="J201"/>
  <c r="U201" s="1"/>
  <c r="N200"/>
  <c r="J200"/>
  <c r="U200" s="1"/>
  <c r="N199"/>
  <c r="J199"/>
  <c r="U199" s="1"/>
  <c r="N198"/>
  <c r="J198"/>
  <c r="U198" s="1"/>
  <c r="N197"/>
  <c r="J197"/>
  <c r="U197" s="1"/>
  <c r="N196"/>
  <c r="J196"/>
  <c r="U196" s="1"/>
  <c r="N195"/>
  <c r="J195"/>
  <c r="U195" s="1"/>
  <c r="N194"/>
  <c r="J194"/>
  <c r="U194" s="1"/>
  <c r="N193"/>
  <c r="J193"/>
  <c r="U193" s="1"/>
  <c r="N192"/>
  <c r="J192"/>
  <c r="U192" s="1"/>
  <c r="N191"/>
  <c r="J191"/>
  <c r="U191" s="1"/>
  <c r="N190"/>
  <c r="J190"/>
  <c r="U190" s="1"/>
  <c r="N189"/>
  <c r="J189"/>
  <c r="U189" s="1"/>
  <c r="N188"/>
  <c r="J188"/>
  <c r="U188" s="1"/>
  <c r="N187"/>
  <c r="J187"/>
  <c r="U187" s="1"/>
  <c r="N186"/>
  <c r="J186"/>
  <c r="U186" s="1"/>
  <c r="N185"/>
  <c r="J185"/>
  <c r="U185" s="1"/>
  <c r="N184"/>
  <c r="J184"/>
  <c r="U184" s="1"/>
  <c r="N183"/>
  <c r="J183"/>
  <c r="U183" s="1"/>
  <c r="N182"/>
  <c r="J182"/>
  <c r="U182" s="1"/>
  <c r="N181"/>
  <c r="J181"/>
  <c r="U181" s="1"/>
  <c r="N180"/>
  <c r="J180"/>
  <c r="U180" s="1"/>
  <c r="N179"/>
  <c r="J179"/>
  <c r="U179" s="1"/>
  <c r="N178"/>
  <c r="J178"/>
  <c r="U178" s="1"/>
  <c r="N177"/>
  <c r="J177"/>
  <c r="U177" s="1"/>
  <c r="N176"/>
  <c r="J176"/>
  <c r="U176" s="1"/>
  <c r="N175"/>
  <c r="J175"/>
  <c r="U175" s="1"/>
  <c r="N174"/>
  <c r="J174"/>
  <c r="U174" s="1"/>
  <c r="N173"/>
  <c r="J173"/>
  <c r="U173" s="1"/>
  <c r="N172"/>
  <c r="J172"/>
  <c r="U172" s="1"/>
  <c r="N171"/>
  <c r="J171"/>
  <c r="U171" s="1"/>
  <c r="N170"/>
  <c r="J170"/>
  <c r="U170" s="1"/>
  <c r="N169"/>
  <c r="J169"/>
  <c r="U169" s="1"/>
  <c r="N168"/>
  <c r="J168"/>
  <c r="U168" s="1"/>
  <c r="N167"/>
  <c r="J167"/>
  <c r="U167" s="1"/>
  <c r="N166"/>
  <c r="J166"/>
  <c r="U166" s="1"/>
  <c r="N165"/>
  <c r="J165"/>
  <c r="U165" s="1"/>
  <c r="N164"/>
  <c r="J164"/>
  <c r="U164" s="1"/>
  <c r="N163"/>
  <c r="J163"/>
  <c r="U163" s="1"/>
  <c r="N162"/>
  <c r="J162"/>
  <c r="U162" s="1"/>
  <c r="N161"/>
  <c r="J161"/>
  <c r="U161" s="1"/>
  <c r="N160"/>
  <c r="J160"/>
  <c r="U160" s="1"/>
  <c r="N159"/>
  <c r="J159"/>
  <c r="U159" s="1"/>
  <c r="N158"/>
  <c r="J158"/>
  <c r="U158" s="1"/>
  <c r="N157"/>
  <c r="J157"/>
  <c r="U157" s="1"/>
  <c r="N156"/>
  <c r="J156"/>
  <c r="U156" s="1"/>
  <c r="N155"/>
  <c r="J155"/>
  <c r="U155" s="1"/>
  <c r="N154"/>
  <c r="J154"/>
  <c r="U154" s="1"/>
  <c r="N153"/>
  <c r="J153"/>
  <c r="U153" s="1"/>
  <c r="N152"/>
  <c r="J152"/>
  <c r="U152" s="1"/>
  <c r="N151"/>
  <c r="J151"/>
  <c r="U151" s="1"/>
  <c r="N150"/>
  <c r="J150"/>
  <c r="U150" s="1"/>
  <c r="N149"/>
  <c r="J149"/>
  <c r="U149" s="1"/>
  <c r="N148"/>
  <c r="J148"/>
  <c r="U148" s="1"/>
  <c r="N147"/>
  <c r="J147"/>
  <c r="U147" s="1"/>
  <c r="N146"/>
  <c r="J146"/>
  <c r="U146" s="1"/>
  <c r="N145"/>
  <c r="J145"/>
  <c r="U145" s="1"/>
  <c r="N144"/>
  <c r="J144"/>
  <c r="U144" s="1"/>
  <c r="N143"/>
  <c r="J143"/>
  <c r="U143" s="1"/>
  <c r="N142"/>
  <c r="J142"/>
  <c r="U142" s="1"/>
  <c r="N141"/>
  <c r="J141"/>
  <c r="U141" s="1"/>
  <c r="N140"/>
  <c r="J140"/>
  <c r="U140" s="1"/>
  <c r="N139"/>
  <c r="J139"/>
  <c r="U139" s="1"/>
  <c r="N138"/>
  <c r="J138"/>
  <c r="U138" s="1"/>
  <c r="N137"/>
  <c r="J137"/>
  <c r="U137" s="1"/>
  <c r="N136"/>
  <c r="J136"/>
  <c r="U136" s="1"/>
  <c r="N135"/>
  <c r="J135"/>
  <c r="U135" s="1"/>
  <c r="N134"/>
  <c r="J134"/>
  <c r="U134" s="1"/>
  <c r="N133"/>
  <c r="J133"/>
  <c r="U133" s="1"/>
  <c r="N132"/>
  <c r="J132"/>
  <c r="U132" s="1"/>
  <c r="N131"/>
  <c r="J131"/>
  <c r="U131" s="1"/>
  <c r="N130"/>
  <c r="J130"/>
  <c r="U130" s="1"/>
  <c r="N129"/>
  <c r="J129"/>
  <c r="U129" s="1"/>
  <c r="N128"/>
  <c r="J128"/>
  <c r="U128" s="1"/>
  <c r="N127"/>
  <c r="J127"/>
  <c r="U127" s="1"/>
  <c r="N126"/>
  <c r="J126"/>
  <c r="U126" s="1"/>
  <c r="N125"/>
  <c r="J125"/>
  <c r="U125" s="1"/>
  <c r="N124"/>
  <c r="J124"/>
  <c r="U124" s="1"/>
  <c r="N123"/>
  <c r="J123"/>
  <c r="U123" s="1"/>
  <c r="N122"/>
  <c r="J122"/>
  <c r="U122" s="1"/>
  <c r="N121"/>
  <c r="J121"/>
  <c r="U121" s="1"/>
  <c r="N120"/>
  <c r="J120"/>
  <c r="U120" s="1"/>
  <c r="N119"/>
  <c r="J119"/>
  <c r="U119" s="1"/>
  <c r="N118"/>
  <c r="J118"/>
  <c r="U118" s="1"/>
  <c r="N117"/>
  <c r="J117"/>
  <c r="U117" s="1"/>
  <c r="N116"/>
  <c r="J116"/>
  <c r="U116" s="1"/>
  <c r="N115"/>
  <c r="J115"/>
  <c r="U115" s="1"/>
  <c r="N114"/>
  <c r="J114"/>
  <c r="U114" s="1"/>
  <c r="N113"/>
  <c r="J113"/>
  <c r="U113" s="1"/>
  <c r="N112"/>
  <c r="J112"/>
  <c r="U112" s="1"/>
  <c r="N111"/>
  <c r="J111"/>
  <c r="U111" s="1"/>
  <c r="N110"/>
  <c r="J110"/>
  <c r="U110" s="1"/>
  <c r="N109"/>
  <c r="J109"/>
  <c r="U109" s="1"/>
  <c r="N108"/>
  <c r="J108"/>
  <c r="U108" s="1"/>
  <c r="N107"/>
  <c r="J107"/>
  <c r="U107" s="1"/>
  <c r="N106"/>
  <c r="J106"/>
  <c r="U106" s="1"/>
  <c r="N105"/>
  <c r="J105"/>
  <c r="U105" s="1"/>
  <c r="N104"/>
  <c r="J104"/>
  <c r="U104" s="1"/>
  <c r="N103"/>
  <c r="J103"/>
  <c r="U103" s="1"/>
  <c r="N102"/>
  <c r="J102"/>
  <c r="U102" s="1"/>
  <c r="N101"/>
  <c r="J101"/>
  <c r="U101" s="1"/>
  <c r="N100"/>
  <c r="J100"/>
  <c r="U100" s="1"/>
  <c r="N99"/>
  <c r="J99"/>
  <c r="U99" s="1"/>
  <c r="N98"/>
  <c r="J98"/>
  <c r="U98" s="1"/>
  <c r="N97"/>
  <c r="J97"/>
  <c r="U97" s="1"/>
  <c r="N96"/>
  <c r="J96"/>
  <c r="U96" s="1"/>
  <c r="N95"/>
  <c r="J95"/>
  <c r="U95" s="1"/>
  <c r="N94"/>
  <c r="J94"/>
  <c r="U94" s="1"/>
  <c r="N93"/>
  <c r="J93"/>
  <c r="U93" s="1"/>
  <c r="N92"/>
  <c r="J92"/>
  <c r="U92" s="1"/>
  <c r="N91"/>
  <c r="J91"/>
  <c r="U91" s="1"/>
  <c r="N90"/>
  <c r="J90"/>
  <c r="U90" s="1"/>
  <c r="N89"/>
  <c r="J89"/>
  <c r="U89" s="1"/>
  <c r="N88"/>
  <c r="J88"/>
  <c r="U88" s="1"/>
  <c r="N87"/>
  <c r="J87"/>
  <c r="U87" s="1"/>
  <c r="N86"/>
  <c r="J86"/>
  <c r="U86" s="1"/>
  <c r="N85"/>
  <c r="J85"/>
  <c r="U85" s="1"/>
  <c r="N84"/>
  <c r="J84"/>
  <c r="U84" s="1"/>
  <c r="N83"/>
  <c r="J83"/>
  <c r="U83" s="1"/>
  <c r="N82"/>
  <c r="J82"/>
  <c r="U82" s="1"/>
  <c r="N81"/>
  <c r="J81"/>
  <c r="U81" s="1"/>
  <c r="N80"/>
  <c r="J80"/>
  <c r="U80" s="1"/>
  <c r="N79"/>
  <c r="J79"/>
  <c r="U79" s="1"/>
  <c r="N78"/>
  <c r="J78"/>
  <c r="U78" s="1"/>
  <c r="N77"/>
  <c r="J77"/>
  <c r="U77" s="1"/>
  <c r="N76"/>
  <c r="J76"/>
  <c r="U76" s="1"/>
  <c r="N75"/>
  <c r="J75"/>
  <c r="U75" s="1"/>
  <c r="N74"/>
  <c r="J74"/>
  <c r="U74" s="1"/>
  <c r="N73"/>
  <c r="J73"/>
  <c r="U73" s="1"/>
  <c r="N72"/>
  <c r="J72"/>
  <c r="U72" s="1"/>
  <c r="N71"/>
  <c r="J71"/>
  <c r="U71" s="1"/>
  <c r="N70"/>
  <c r="J70"/>
  <c r="U70" s="1"/>
  <c r="N69"/>
  <c r="J69"/>
  <c r="U69" s="1"/>
  <c r="N68"/>
  <c r="J68"/>
  <c r="U68" s="1"/>
  <c r="N67"/>
  <c r="J67"/>
  <c r="U67" s="1"/>
  <c r="N66"/>
  <c r="J66"/>
  <c r="U66" s="1"/>
  <c r="N65"/>
  <c r="J65"/>
  <c r="U65" s="1"/>
  <c r="N64"/>
  <c r="J64"/>
  <c r="U64" s="1"/>
  <c r="N63"/>
  <c r="J63"/>
  <c r="U63" s="1"/>
  <c r="N62"/>
  <c r="J62"/>
  <c r="U62" s="1"/>
  <c r="N61"/>
  <c r="J61"/>
  <c r="U61" s="1"/>
  <c r="N60"/>
  <c r="J60"/>
  <c r="U60" s="1"/>
  <c r="N59"/>
  <c r="J59"/>
  <c r="U59" s="1"/>
  <c r="N58"/>
  <c r="J58"/>
  <c r="U58" s="1"/>
  <c r="N57"/>
  <c r="J57"/>
  <c r="U57" s="1"/>
  <c r="N56"/>
  <c r="J56"/>
  <c r="U56" s="1"/>
  <c r="N55"/>
  <c r="J55"/>
  <c r="U55" s="1"/>
  <c r="N54"/>
  <c r="J54"/>
  <c r="U54" s="1"/>
  <c r="N53"/>
  <c r="J53"/>
  <c r="U53" s="1"/>
  <c r="N52"/>
  <c r="J52"/>
  <c r="U52" s="1"/>
  <c r="N51"/>
  <c r="J51"/>
  <c r="U51" s="1"/>
  <c r="N50"/>
  <c r="J50"/>
  <c r="U50" s="1"/>
  <c r="N49"/>
  <c r="J49"/>
  <c r="U49" s="1"/>
  <c r="N48"/>
  <c r="J48"/>
  <c r="U48" s="1"/>
  <c r="N47"/>
  <c r="J47"/>
  <c r="U47" s="1"/>
  <c r="N46"/>
  <c r="J46"/>
  <c r="U46" s="1"/>
  <c r="N45"/>
  <c r="J45"/>
  <c r="U45" s="1"/>
  <c r="N44"/>
  <c r="J44"/>
  <c r="U44" s="1"/>
  <c r="N43"/>
  <c r="J43"/>
  <c r="U43" s="1"/>
  <c r="N42"/>
  <c r="J42"/>
  <c r="U42" s="1"/>
  <c r="N41"/>
  <c r="J41"/>
  <c r="U41" s="1"/>
  <c r="N40"/>
  <c r="J40"/>
  <c r="U40" s="1"/>
  <c r="N39"/>
  <c r="J39"/>
  <c r="U39" s="1"/>
  <c r="N38"/>
  <c r="J38"/>
  <c r="U38" s="1"/>
  <c r="N37"/>
  <c r="J37"/>
  <c r="U37" s="1"/>
  <c r="N36"/>
  <c r="J36"/>
  <c r="U36" s="1"/>
  <c r="N35"/>
  <c r="J35"/>
  <c r="U35" s="1"/>
  <c r="N34"/>
  <c r="J34"/>
  <c r="U34" s="1"/>
  <c r="N33"/>
  <c r="J33"/>
  <c r="U33" s="1"/>
  <c r="N32"/>
  <c r="J32"/>
  <c r="U32" s="1"/>
  <c r="N31"/>
  <c r="J31"/>
  <c r="U31" s="1"/>
  <c r="N30"/>
  <c r="J30"/>
  <c r="U30" s="1"/>
  <c r="N29"/>
  <c r="J29"/>
  <c r="U29" s="1"/>
  <c r="N28"/>
  <c r="J28"/>
  <c r="U28" s="1"/>
  <c r="N27"/>
  <c r="J27"/>
  <c r="U27" s="1"/>
  <c r="N26"/>
  <c r="J26"/>
  <c r="U26" s="1"/>
  <c r="N25"/>
  <c r="J25"/>
  <c r="U25" s="1"/>
  <c r="N24"/>
  <c r="J24"/>
  <c r="U24" s="1"/>
  <c r="N23"/>
  <c r="J23"/>
  <c r="U23" s="1"/>
  <c r="N22"/>
  <c r="J22"/>
  <c r="U22" s="1"/>
  <c r="N21"/>
  <c r="J21"/>
  <c r="U21" s="1"/>
  <c r="N20"/>
  <c r="J20"/>
  <c r="U20" s="1"/>
  <c r="N19"/>
  <c r="J19"/>
  <c r="U19" s="1"/>
  <c r="N18"/>
  <c r="J18"/>
  <c r="U18" s="1"/>
  <c r="N17"/>
  <c r="J17"/>
  <c r="U17" s="1"/>
  <c r="N16"/>
  <c r="J16"/>
  <c r="U16" s="1"/>
  <c r="N15"/>
  <c r="J15"/>
  <c r="U15" s="1"/>
  <c r="N14"/>
  <c r="J14"/>
  <c r="U14" s="1"/>
  <c r="N13"/>
  <c r="J13"/>
  <c r="U13" s="1"/>
  <c r="N12"/>
  <c r="J12"/>
  <c r="U12" s="1"/>
  <c r="N11"/>
  <c r="J11"/>
  <c r="U11" s="1"/>
  <c r="N10"/>
  <c r="J10"/>
  <c r="U10" s="1"/>
  <c r="N9"/>
  <c r="J9"/>
  <c r="U9" s="1"/>
  <c r="N8"/>
  <c r="J8"/>
  <c r="U8" s="1"/>
  <c r="N7"/>
  <c r="J7"/>
  <c r="U7" s="1"/>
  <c r="N6"/>
  <c r="J6"/>
  <c r="U6" s="1"/>
  <c r="N5"/>
  <c r="J5"/>
  <c r="U5" s="1"/>
  <c r="N4"/>
  <c r="J4"/>
  <c r="U4" s="1"/>
  <c r="N3"/>
  <c r="J3"/>
  <c r="U3" s="1"/>
  <c r="N2"/>
  <c r="U2"/>
  <c r="G7" i="2" l="1"/>
  <c r="G6"/>
  <c r="G5"/>
  <c r="G8"/>
</calcChain>
</file>

<file path=xl/sharedStrings.xml><?xml version="1.0" encoding="utf-8"?>
<sst xmlns="http://schemas.openxmlformats.org/spreadsheetml/2006/main" count="3764" uniqueCount="463">
  <si>
    <t>Block wise Sr. No</t>
  </si>
  <si>
    <t>Name</t>
  </si>
  <si>
    <t>Block Name</t>
  </si>
  <si>
    <t>No of House Hold</t>
  </si>
  <si>
    <t>Total Population</t>
  </si>
  <si>
    <t>Total Male</t>
  </si>
  <si>
    <t>Total Female</t>
  </si>
  <si>
    <t>Sex Ratio</t>
  </si>
  <si>
    <t>Total SC Population</t>
  </si>
  <si>
    <t>Total SC Male</t>
  </si>
  <si>
    <t>Total SC Female</t>
  </si>
  <si>
    <t>P_LIT</t>
  </si>
  <si>
    <t>M_LIT</t>
  </si>
  <si>
    <t>F_LIT</t>
  </si>
  <si>
    <t>Lit. Rate (Total)</t>
  </si>
  <si>
    <t>Lit. Rate (Male)</t>
  </si>
  <si>
    <t>Lit. Rate (Female)</t>
  </si>
  <si>
    <t>Adhaun (403)</t>
  </si>
  <si>
    <t>Thanesar</t>
  </si>
  <si>
    <t>Ajrana Kalan (274)</t>
  </si>
  <si>
    <t>Ajrani (410)</t>
  </si>
  <si>
    <t>Alampur (381)</t>
  </si>
  <si>
    <t>Amin (33)</t>
  </si>
  <si>
    <t>Bagthala (422)</t>
  </si>
  <si>
    <t>Bahadurpur (401)</t>
  </si>
  <si>
    <t>Bahri (Part)(389)</t>
  </si>
  <si>
    <t>Balahi (421)</t>
  </si>
  <si>
    <t>Barna (24)</t>
  </si>
  <si>
    <t>Barwa (5)</t>
  </si>
  <si>
    <t>Bhainsi Majra (18)</t>
  </si>
  <si>
    <t>Bhawani Khera (390)</t>
  </si>
  <si>
    <t>Bichganwah (420)</t>
  </si>
  <si>
    <t>Bir Amin (30)</t>
  </si>
  <si>
    <t>Chander Bhanpur (372)</t>
  </si>
  <si>
    <t>Chiba (405)</t>
  </si>
  <si>
    <t>Dabkheri (425)</t>
  </si>
  <si>
    <t>Dara Kalan Thanesar (Part)(379)</t>
  </si>
  <si>
    <t>Dara Khurd Thanesar (391)</t>
  </si>
  <si>
    <t>Darra Khera Thanesar (Part)(385)</t>
  </si>
  <si>
    <t>Dhoda Kheri (400)</t>
  </si>
  <si>
    <t>Dhurala (404)</t>
  </si>
  <si>
    <t>Diyalpur (Part)(383)</t>
  </si>
  <si>
    <t>Fattupur (31)</t>
  </si>
  <si>
    <t>Ghampur Kheri (388)</t>
  </si>
  <si>
    <t>Ghararsi (23)</t>
  </si>
  <si>
    <t>Gulabgarh (426)</t>
  </si>
  <si>
    <t>Hansala (419)</t>
  </si>
  <si>
    <t>Hasanpur (418)</t>
  </si>
  <si>
    <t>Hathira (9)</t>
  </si>
  <si>
    <t>Hinga Kheri (411)</t>
  </si>
  <si>
    <t>Indbari (429)</t>
  </si>
  <si>
    <t>Ishaqpur (29)</t>
  </si>
  <si>
    <t>Jinjarpur (22)</t>
  </si>
  <si>
    <t>Jogna Khera (387)</t>
  </si>
  <si>
    <t>Josar (428)</t>
  </si>
  <si>
    <t>Kamoda (26)</t>
  </si>
  <si>
    <t>Kanthal Kalan (3)</t>
  </si>
  <si>
    <t>Kanthal Khurd (4)</t>
  </si>
  <si>
    <t>Khanpur Roran (25)</t>
  </si>
  <si>
    <t>Khawaspur (32)</t>
  </si>
  <si>
    <t>Kheri Brahmanan (382)</t>
  </si>
  <si>
    <t>Kheri Ramnagar (374)</t>
  </si>
  <si>
    <t>Khizar Pura (28)</t>
  </si>
  <si>
    <t>Kirmach (6)</t>
  </si>
  <si>
    <t>Kunwar Kheri (27)</t>
  </si>
  <si>
    <t>Lohar Majra (27)</t>
  </si>
  <si>
    <t>Lukhi (414)</t>
  </si>
  <si>
    <t>Malakpur (402)</t>
  </si>
  <si>
    <t>Mirzapur (Part)(384)</t>
  </si>
  <si>
    <t>Munda Khera (424)</t>
  </si>
  <si>
    <t>Narkatari(386)</t>
  </si>
  <si>
    <t>Panwa (417)</t>
  </si>
  <si>
    <t>Pindarsi (19)</t>
  </si>
  <si>
    <t>Raogarh (427)</t>
  </si>
  <si>
    <t>Salarpur (380)</t>
  </si>
  <si>
    <t>Shadipur (28)</t>
  </si>
  <si>
    <t>Shamaspur (423)</t>
  </si>
  <si>
    <t>Shamsipur (2)</t>
  </si>
  <si>
    <t>Suneheri (1)</t>
  </si>
  <si>
    <t>Tigri Khalsa (26)</t>
  </si>
  <si>
    <t>Udarsi (406)</t>
  </si>
  <si>
    <t>Ahmadpur (271)</t>
  </si>
  <si>
    <t>Shahabad</t>
  </si>
  <si>
    <t>Atwan (101)</t>
  </si>
  <si>
    <t>Bakana (93)</t>
  </si>
  <si>
    <t>Barham (409)</t>
  </si>
  <si>
    <t>Bhukar Majra (222)</t>
  </si>
  <si>
    <t>Bibipur (273)</t>
  </si>
  <si>
    <t>Bijharpur (283)</t>
  </si>
  <si>
    <t>Boripur (225)</t>
  </si>
  <si>
    <t>Chanarthal (100)</t>
  </si>
  <si>
    <t>Charhuni Jattan (92)</t>
  </si>
  <si>
    <t>Chhapra (241)</t>
  </si>
  <si>
    <t>Chhorpur (218)</t>
  </si>
  <si>
    <t>Chhpri (Part)(242)</t>
  </si>
  <si>
    <t>Dadlu (238)</t>
  </si>
  <si>
    <t>Damli (236)</t>
  </si>
  <si>
    <t>Dau Majra (230)</t>
  </si>
  <si>
    <t>Dhakala (269)</t>
  </si>
  <si>
    <t>Dhangali  (122)</t>
  </si>
  <si>
    <t>Dhantauri (97)</t>
  </si>
  <si>
    <t>Dharam Garh (247)</t>
  </si>
  <si>
    <t>Dhola Majra (244)</t>
  </si>
  <si>
    <t>Dig (118)</t>
  </si>
  <si>
    <t>Fatehgarh Atari (277)</t>
  </si>
  <si>
    <t>Fatehgarh Jharauli (262)</t>
  </si>
  <si>
    <t>Golpura (257)</t>
  </si>
  <si>
    <t>Goripur (227)</t>
  </si>
  <si>
    <t>Gulabgarh (99)</t>
  </si>
  <si>
    <t>Gumti (252)</t>
  </si>
  <si>
    <t>Haldaheri (220)</t>
  </si>
  <si>
    <t>Hibana (246)</t>
  </si>
  <si>
    <t>Jandheri (Part)(240)</t>
  </si>
  <si>
    <t>Jharauli Khurd (280)</t>
  </si>
  <si>
    <t>Jogi Majra (120)</t>
  </si>
  <si>
    <t>Kahan Garh (117)</t>
  </si>
  <si>
    <t>Kaliana (228)</t>
  </si>
  <si>
    <t>Kalsana (266)</t>
  </si>
  <si>
    <t>Kalsani (264)</t>
  </si>
  <si>
    <t>Kathwah (278)</t>
  </si>
  <si>
    <t>Katlaheri (91)</t>
  </si>
  <si>
    <t>Khanpur Jatan (245)</t>
  </si>
  <si>
    <t>Kharindwa (116)</t>
  </si>
  <si>
    <t>Khera (272)</t>
  </si>
  <si>
    <t>Kishan Garh (248)</t>
  </si>
  <si>
    <t>Landhi (229)</t>
  </si>
  <si>
    <t>Machhrauli (94)</t>
  </si>
  <si>
    <t>Madanpur (250)</t>
  </si>
  <si>
    <t>Mahdodan (263)</t>
  </si>
  <si>
    <t>Malakpur (251)</t>
  </si>
  <si>
    <t>Mammon Majra (265)</t>
  </si>
  <si>
    <t>Mohanpur (267)</t>
  </si>
  <si>
    <t>Mohri (217)</t>
  </si>
  <si>
    <t>Mughal Majra (279)</t>
  </si>
  <si>
    <t>Muhayuddinpur (224)</t>
  </si>
  <si>
    <t>Nagala (255)</t>
  </si>
  <si>
    <t>Nahar Majra (223)</t>
  </si>
  <si>
    <t>Nalwi (260)</t>
  </si>
  <si>
    <t>Naraingarh (116/1)</t>
  </si>
  <si>
    <t>Padlu (237)</t>
  </si>
  <si>
    <t>Patti Boripur (226)</t>
  </si>
  <si>
    <t>Patti Jhamra Shahbad (Part)(253)</t>
  </si>
  <si>
    <t>Patti Kankra Shahbad (Part)(232)</t>
  </si>
  <si>
    <t>Rai Majra (258)</t>
  </si>
  <si>
    <t>Raipur (261)</t>
  </si>
  <si>
    <t>Ram Nagar  (233)</t>
  </si>
  <si>
    <t>Ramnagar (98)</t>
  </si>
  <si>
    <t>Rattangarh (Part)(249)</t>
  </si>
  <si>
    <t xml:space="preserve">Ravi (Part)(234) </t>
  </si>
  <si>
    <t>Rawa (Part)(239)</t>
  </si>
  <si>
    <t>Rawal Kheri (103)</t>
  </si>
  <si>
    <t>Saidpur Barwalian (221)</t>
  </si>
  <si>
    <t>Salempur (121)</t>
  </si>
  <si>
    <t>Samalki (219)</t>
  </si>
  <si>
    <t>Shahzadpur (254)</t>
  </si>
  <si>
    <t>Sudhpur (90)</t>
  </si>
  <si>
    <t>Sulkhani (256)</t>
  </si>
  <si>
    <t>Surkhpur (268)</t>
  </si>
  <si>
    <t xml:space="preserve">Tagra (235) </t>
  </si>
  <si>
    <t>Tangaur (281)</t>
  </si>
  <si>
    <t>Tangauri ( 282 )</t>
  </si>
  <si>
    <t>Teora (243)</t>
  </si>
  <si>
    <t>Tigri (270)</t>
  </si>
  <si>
    <t>Yara (123)</t>
  </si>
  <si>
    <t>Yari (119)</t>
  </si>
  <si>
    <t>Zainpur (231)</t>
  </si>
  <si>
    <t>Badarpur (69)</t>
  </si>
  <si>
    <t>Ladwa</t>
  </si>
  <si>
    <t>Bahlolpur (330)</t>
  </si>
  <si>
    <t>Bakali (58)</t>
  </si>
  <si>
    <t>Ban (62)</t>
  </si>
  <si>
    <t>Bani (68)</t>
  </si>
  <si>
    <t>Bapda (74)</t>
  </si>
  <si>
    <t>Bapdi (75)</t>
  </si>
  <si>
    <t>Baraichpur (77)</t>
  </si>
  <si>
    <t>Baraunda (72)</t>
  </si>
  <si>
    <t>Baraundi (79)</t>
  </si>
  <si>
    <t>Baraut (81)</t>
  </si>
  <si>
    <t>Barhan (82)</t>
  </si>
  <si>
    <t>Barshami (65)</t>
  </si>
  <si>
    <t>Bhalar (215)</t>
  </si>
  <si>
    <t>Bhalari (216)</t>
  </si>
  <si>
    <t>Bhartauli (165)</t>
  </si>
  <si>
    <t>Bhut Majra (71)</t>
  </si>
  <si>
    <t>Bir Bhartauli (160)</t>
  </si>
  <si>
    <t>Bir Sonthi (341)</t>
  </si>
  <si>
    <t>Budha (61)</t>
  </si>
  <si>
    <t>Chhalaundi (67)</t>
  </si>
  <si>
    <t>Chhapra (158)</t>
  </si>
  <si>
    <t>Dab Khera (339)</t>
  </si>
  <si>
    <t>Dehra (Part)(60)</t>
  </si>
  <si>
    <t>Dhanaura (59)</t>
  </si>
  <si>
    <t>Dhandla (214)</t>
  </si>
  <si>
    <t>Dhuda (83)</t>
  </si>
  <si>
    <t>Dhudi (84)</t>
  </si>
  <si>
    <t>Dugari (213)</t>
  </si>
  <si>
    <t>Gajlana (166)</t>
  </si>
  <si>
    <t>Gharaula (335)</t>
  </si>
  <si>
    <t>Gobindgarh (80)</t>
  </si>
  <si>
    <t>Gudah (157)</t>
  </si>
  <si>
    <t>Halalpur (334)</t>
  </si>
  <si>
    <t>Jandhera (66)</t>
  </si>
  <si>
    <t>Jogi Majra (212)</t>
  </si>
  <si>
    <t>Kali Raona (154)</t>
  </si>
  <si>
    <t>Kharkali (56)</t>
  </si>
  <si>
    <t>Kheri Dabdalan (64)</t>
  </si>
  <si>
    <t>Ladwa (Rural)(Part)(76)</t>
  </si>
  <si>
    <t>Lathi Dhanaura (73)</t>
  </si>
  <si>
    <t>Lohara (338)</t>
  </si>
  <si>
    <t>Mehra (57)</t>
  </si>
  <si>
    <t>Murad Nagar (70)</t>
  </si>
  <si>
    <t>Nawarsi (336)</t>
  </si>
  <si>
    <t>Pahladpur (331)</t>
  </si>
  <si>
    <t>Salempur (85)</t>
  </si>
  <si>
    <t>Samalkha (63)</t>
  </si>
  <si>
    <t>Shahzadpur (211)</t>
  </si>
  <si>
    <t>Sultanpur (155)</t>
  </si>
  <si>
    <t>Sunthi (340)</t>
  </si>
  <si>
    <t>Sura (50)</t>
  </si>
  <si>
    <t>Zainpur Jattan (78)</t>
  </si>
  <si>
    <t>Babain (145)</t>
  </si>
  <si>
    <t>Babain</t>
  </si>
  <si>
    <t>Bagrat (346)</t>
  </si>
  <si>
    <t>Berthala (124)</t>
  </si>
  <si>
    <t>Berthali (125)</t>
  </si>
  <si>
    <t>Bhagwanpur (111)</t>
  </si>
  <si>
    <t>Bhaini (153)</t>
  </si>
  <si>
    <t>Bhukri (150)</t>
  </si>
  <si>
    <t>Binat (144)</t>
  </si>
  <si>
    <t>Bir Kalwa (137)</t>
  </si>
  <si>
    <t>Bir Mangaoli (129)</t>
  </si>
  <si>
    <t>Bir Sujra (139)</t>
  </si>
  <si>
    <t>Buhawa (126)</t>
  </si>
  <si>
    <t>Buhawi (127)</t>
  </si>
  <si>
    <t>Dhanani (134)</t>
  </si>
  <si>
    <t>Ghisarpari (148)</t>
  </si>
  <si>
    <t>Gohan (152)</t>
  </si>
  <si>
    <t>Hamidpur (143)</t>
  </si>
  <si>
    <t>Haripur (146)</t>
  </si>
  <si>
    <t>Isherheri (138)</t>
  </si>
  <si>
    <t>Jalaludin Majra (337)</t>
  </si>
  <si>
    <t>Jalkheri (114)</t>
  </si>
  <si>
    <t>Jandaula(149)</t>
  </si>
  <si>
    <t>Kalal Majra (113)</t>
  </si>
  <si>
    <t>Kalwa (136)</t>
  </si>
  <si>
    <t>Kanauni (142)</t>
  </si>
  <si>
    <t>Kandauli (151)</t>
  </si>
  <si>
    <t>Kasithal (110)</t>
  </si>
  <si>
    <t>Khirki Viran (332)</t>
  </si>
  <si>
    <t>Lakhmari (128)</t>
  </si>
  <si>
    <t>Mahwa Kheri (161)</t>
  </si>
  <si>
    <t>Mandokhara (140)</t>
  </si>
  <si>
    <t>Mangaoli Rangran (130)</t>
  </si>
  <si>
    <t>Mangoli Jattan (131)</t>
  </si>
  <si>
    <t>Mirchaheri (348)</t>
  </si>
  <si>
    <t>Nakhrojpur (164)</t>
  </si>
  <si>
    <t>Phalsanda Jattan (133)</t>
  </si>
  <si>
    <t>Phalsanda Rangran (162)</t>
  </si>
  <si>
    <t>Ramnagar (112)</t>
  </si>
  <si>
    <t>Ramnagar (156)</t>
  </si>
  <si>
    <t>Rampura (108)</t>
  </si>
  <si>
    <t>Ramsaran Majra (147)</t>
  </si>
  <si>
    <t>Rurki (333)</t>
  </si>
  <si>
    <t>Sim Balwal (132)</t>
  </si>
  <si>
    <t>Singhaur (163)</t>
  </si>
  <si>
    <t>Sujra (141)</t>
  </si>
  <si>
    <t>Sujri (115)</t>
  </si>
  <si>
    <t>Sunarian (135)</t>
  </si>
  <si>
    <t>Tatka (109)</t>
  </si>
  <si>
    <t>Tatki (347)</t>
  </si>
  <si>
    <t>Adoya (4)</t>
  </si>
  <si>
    <t>Pehowa</t>
  </si>
  <si>
    <t>Bakhli (11)</t>
  </si>
  <si>
    <t>Baloch Pura (46)</t>
  </si>
  <si>
    <t>Batheri  (12)</t>
  </si>
  <si>
    <t>Bherian (42)</t>
  </si>
  <si>
    <t>Bhor Saidan (157)</t>
  </si>
  <si>
    <t>Bhorak (17)</t>
  </si>
  <si>
    <t>Bibipur Kalan (50)</t>
  </si>
  <si>
    <t>Bodha (18)</t>
  </si>
  <si>
    <t>Bodhni (16)</t>
  </si>
  <si>
    <t>Chanal Heri (305)</t>
  </si>
  <si>
    <t>Chhajupur (328)</t>
  </si>
  <si>
    <t>Chhawlan (53)</t>
  </si>
  <si>
    <t>Dhani Rampura (47)</t>
  </si>
  <si>
    <t>Dhulgarh (55)</t>
  </si>
  <si>
    <t>Diwana (5)</t>
  </si>
  <si>
    <t>Garhi Kaharan (154)</t>
  </si>
  <si>
    <t>Garhi Langri (6)</t>
  </si>
  <si>
    <t>Garhi Roran (152)</t>
  </si>
  <si>
    <t>Gledwa (40)</t>
  </si>
  <si>
    <t>Guldehra (54)</t>
  </si>
  <si>
    <t>Gumthala Garhu (139)</t>
  </si>
  <si>
    <t>Helwa (58)</t>
  </si>
  <si>
    <t>Ishaq (10)</t>
  </si>
  <si>
    <t>Jakhwala (20)</t>
  </si>
  <si>
    <t>Jhinwarheri (36)</t>
  </si>
  <si>
    <t>Jorasi Kalan (32)</t>
  </si>
  <si>
    <t>Jorasi Khurd (33)</t>
  </si>
  <si>
    <t>Kakrala  Gujran (7)</t>
  </si>
  <si>
    <t>Kalsa (1)</t>
  </si>
  <si>
    <t>Karah (3)</t>
  </si>
  <si>
    <t>Kheri Shishgran (38)</t>
  </si>
  <si>
    <t>Mangna (57)</t>
  </si>
  <si>
    <t>Mohanpur (2)</t>
  </si>
  <si>
    <t>Morthali (35)</t>
  </si>
  <si>
    <t>Muqimpura (155)</t>
  </si>
  <si>
    <t>Murtzapur (48)</t>
  </si>
  <si>
    <t>Nikatpura Alias Garhi Singhan (156)</t>
  </si>
  <si>
    <t>Nimbwala (9)</t>
  </si>
  <si>
    <t>Pehowa (Rural Part)(41)</t>
  </si>
  <si>
    <t>Ramgarh Alias Rohar (60)</t>
  </si>
  <si>
    <t xml:space="preserve">Rampura (153) </t>
  </si>
  <si>
    <t>Rattangarh Alias Kakral (8)</t>
  </si>
  <si>
    <t>Ruan (15)</t>
  </si>
  <si>
    <t>Sandhola (44)</t>
  </si>
  <si>
    <t>Sandholi (45)</t>
  </si>
  <si>
    <t>Sansa (49)</t>
  </si>
  <si>
    <t>Sarsa (17)</t>
  </si>
  <si>
    <t>Sarusti Khera (34)</t>
  </si>
  <si>
    <t>Sataura (37)</t>
  </si>
  <si>
    <t>Seonsar (59)</t>
  </si>
  <si>
    <t>Shahpur (14)</t>
  </si>
  <si>
    <t>Siana Saidan (13)</t>
  </si>
  <si>
    <t>Singh Pura(29)</t>
  </si>
  <si>
    <t>Surmi (51)</t>
  </si>
  <si>
    <t>Takoran (52)</t>
  </si>
  <si>
    <t>Talheri (327)</t>
  </si>
  <si>
    <t>Teokar (19)</t>
  </si>
  <si>
    <t>Thana (56)</t>
  </si>
  <si>
    <t>Theh Bir Badsuyee (12)</t>
  </si>
  <si>
    <t>Theh Malbora (13)</t>
  </si>
  <si>
    <t>Tikri (31)</t>
  </si>
  <si>
    <t>Urnai (329)</t>
  </si>
  <si>
    <t>Urnaicha (14)</t>
  </si>
  <si>
    <t>Usmanpur (43)</t>
  </si>
  <si>
    <t>Zulmat (15)</t>
  </si>
  <si>
    <t>Ajrana Khurd (276)</t>
  </si>
  <si>
    <t>Ismailabad</t>
  </si>
  <si>
    <t>Ajrawar (314)</t>
  </si>
  <si>
    <t>Azmatpur (309)</t>
  </si>
  <si>
    <t>Babkpur (295)</t>
  </si>
  <si>
    <t>Bachki (416)</t>
  </si>
  <si>
    <t>Basantpur (284)</t>
  </si>
  <si>
    <t>Bhusthla (301)</t>
  </si>
  <si>
    <t>Chamun (294)</t>
  </si>
  <si>
    <t>Dalla Majra (287)</t>
  </si>
  <si>
    <t>Duniya Majra (310)</t>
  </si>
  <si>
    <t>Fatehgarh Majra Chamun (293)</t>
  </si>
  <si>
    <t>Gangheri (324)</t>
  </si>
  <si>
    <t>Gogpur (275)</t>
  </si>
  <si>
    <t>Gorkha (296)</t>
  </si>
  <si>
    <t>Ismailpur (319)</t>
  </si>
  <si>
    <t>Jal Behra (307)</t>
  </si>
  <si>
    <t>Jhansa (299)</t>
  </si>
  <si>
    <t>Jhinwarheri (413)</t>
  </si>
  <si>
    <t>Kanthala (306)</t>
  </si>
  <si>
    <t>Khanjarpur (311)</t>
  </si>
  <si>
    <t>Kheri Shahidan (315)</t>
  </si>
  <si>
    <t>Kumhar Mazra (320)</t>
  </si>
  <si>
    <t>Lotni (325)</t>
  </si>
  <si>
    <t>Madaharan (30)</t>
  </si>
  <si>
    <t>Majri Kalan (297)</t>
  </si>
  <si>
    <t>Majri Khurd (298)</t>
  </si>
  <si>
    <t>Malakpur (326)</t>
  </si>
  <si>
    <t>Mandheri (285)</t>
  </si>
  <si>
    <t>Mandi (415)</t>
  </si>
  <si>
    <t>Megha Majra (303)</t>
  </si>
  <si>
    <t>Naisi (323)</t>
  </si>
  <si>
    <t>Nurpur Buchi (316)</t>
  </si>
  <si>
    <t>Pipli Majra (304)</t>
  </si>
  <si>
    <t>Rohti (312)</t>
  </si>
  <si>
    <t>Saidpur Shahidan (313)</t>
  </si>
  <si>
    <t>Salpani Khurd (412)</t>
  </si>
  <si>
    <t>Shanti Nagar Alias Kurri (286)</t>
  </si>
  <si>
    <t>Sheikhpur Majra Chamun(292)</t>
  </si>
  <si>
    <t>Shergarh (321)</t>
  </si>
  <si>
    <t>Shri Nagar(302)</t>
  </si>
  <si>
    <t>Silpani Kalan (300)</t>
  </si>
  <si>
    <t>Tabra (322)</t>
  </si>
  <si>
    <t>Tangoli (22)</t>
  </si>
  <si>
    <t>Thandran (318)</t>
  </si>
  <si>
    <t>Tharauli (288)</t>
  </si>
  <si>
    <t>Thaska Ali (259)</t>
  </si>
  <si>
    <t>Thaska Miranji (308)</t>
  </si>
  <si>
    <t>Thol (289)</t>
  </si>
  <si>
    <t>Amargarh Majhara (377)</t>
  </si>
  <si>
    <t>Pipli</t>
  </si>
  <si>
    <t>Baholi (357)</t>
  </si>
  <si>
    <t>Bangran (351)</t>
  </si>
  <si>
    <t>Bazidpur (358)</t>
  </si>
  <si>
    <t>Bir Chhapar (95)</t>
  </si>
  <si>
    <t>Bir Khairi (344)</t>
  </si>
  <si>
    <t>Bir Mathana (363)</t>
  </si>
  <si>
    <t>Bir Pipli (Part)(359)</t>
  </si>
  <si>
    <t>Bodhi (89)</t>
  </si>
  <si>
    <t>Bodla (352)</t>
  </si>
  <si>
    <t>Chharpura (354)</t>
  </si>
  <si>
    <t>Daulatpur (366)</t>
  </si>
  <si>
    <t>Dhirpur (408)</t>
  </si>
  <si>
    <t>Dhudhla (106)</t>
  </si>
  <si>
    <t>Gadli (86)</t>
  </si>
  <si>
    <t>Govind Majra (407)</t>
  </si>
  <si>
    <t>Harrapur (392)</t>
  </si>
  <si>
    <t>Ishargarh (356)</t>
  </si>
  <si>
    <t>Jhinwarheri (28)</t>
  </si>
  <si>
    <t>Jirbari (371)</t>
  </si>
  <si>
    <t>Kanipla (104)</t>
  </si>
  <si>
    <t>Karahami (87)</t>
  </si>
  <si>
    <t>Kaulapur (349)</t>
  </si>
  <si>
    <t>Khaira (345)</t>
  </si>
  <si>
    <t>Khairi (343)</t>
  </si>
  <si>
    <t>Khanpur Kolian (105)</t>
  </si>
  <si>
    <t>Kheri Gadian (88)</t>
  </si>
  <si>
    <t>Kheri Markanda (Part)(378)</t>
  </si>
  <si>
    <t>Kishan Garh(Part)(368)</t>
  </si>
  <si>
    <t>Masana (96)</t>
  </si>
  <si>
    <t>Mathana (364)</t>
  </si>
  <si>
    <t>Morthala (107)</t>
  </si>
  <si>
    <t>Mukarpur (355)</t>
  </si>
  <si>
    <t>Munyarpur (365)</t>
  </si>
  <si>
    <t xml:space="preserve">Musapur (353) </t>
  </si>
  <si>
    <t>Palwal (Part)(373)</t>
  </si>
  <si>
    <t>Partapgarh (394)</t>
  </si>
  <si>
    <t>Pipli (Part)(360)</t>
  </si>
  <si>
    <t>Ramgarh (395)</t>
  </si>
  <si>
    <t>Rattandera (393)</t>
  </si>
  <si>
    <t>Samani (29)</t>
  </si>
  <si>
    <t>Sanwala (396)</t>
  </si>
  <si>
    <t>Sarai Sukhi (102)</t>
  </si>
  <si>
    <t>Shadipur Ladwa (367)</t>
  </si>
  <si>
    <t>Shadipur Shahabad (399)</t>
  </si>
  <si>
    <t>Shadipur Shahidan (398)</t>
  </si>
  <si>
    <t>Sirsala (397)</t>
  </si>
  <si>
    <t>Sirsama (362)</t>
  </si>
  <si>
    <t>Sodhi (369)</t>
  </si>
  <si>
    <t>Umri (Part)(370)</t>
  </si>
  <si>
    <t>Untheri (342)</t>
  </si>
  <si>
    <t>Untsal (350)</t>
  </si>
  <si>
    <t>sc % to total population</t>
  </si>
  <si>
    <t>Running Sr No</t>
  </si>
  <si>
    <t>Rural</t>
  </si>
  <si>
    <t>Rural/ Urban</t>
  </si>
  <si>
    <t>Range 1</t>
  </si>
  <si>
    <t>Range 2</t>
  </si>
  <si>
    <t>Range 3</t>
  </si>
  <si>
    <t>Range 4</t>
  </si>
  <si>
    <t>Range</t>
  </si>
  <si>
    <t>From</t>
  </si>
  <si>
    <t>To</t>
  </si>
  <si>
    <t>Result</t>
  </si>
  <si>
    <t>&lt;</t>
  </si>
  <si>
    <t>&gt;=</t>
  </si>
  <si>
    <t>Samsung</t>
  </si>
  <si>
    <t>Nokia</t>
  </si>
  <si>
    <t>tata</t>
  </si>
  <si>
    <t>Item</t>
  </si>
  <si>
    <t>price1</t>
  </si>
  <si>
    <t>Price2</t>
  </si>
  <si>
    <t>Samsung Total</t>
  </si>
  <si>
    <t>Nokia Total</t>
  </si>
  <si>
    <t>tata Total</t>
  </si>
  <si>
    <t>Grand Total</t>
  </si>
</sst>
</file>

<file path=xl/styles.xml><?xml version="1.0" encoding="utf-8"?>
<styleSheet xmlns="http://schemas.openxmlformats.org/spreadsheetml/2006/main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1" xfId="0" applyBorder="1" applyAlignment="1">
      <alignment horizontal="center"/>
    </xf>
    <xf numFmtId="49" fontId="0" fillId="0" borderId="1" xfId="0" applyNumberFormat="1" applyFont="1" applyBorder="1"/>
    <xf numFmtId="49" fontId="0" fillId="0" borderId="1" xfId="0" applyNumberForma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 applyAlignment="1"/>
    <xf numFmtId="49" fontId="0" fillId="0" borderId="1" xfId="0" applyNumberFormat="1" applyBorder="1"/>
    <xf numFmtId="49" fontId="0" fillId="0" borderId="1" xfId="0" applyNumberFormat="1" applyFont="1" applyBorder="1" applyAlignment="1">
      <alignment vertical="top" wrapText="1"/>
    </xf>
    <xf numFmtId="49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vertical="top"/>
    </xf>
    <xf numFmtId="164" fontId="0" fillId="0" borderId="1" xfId="0" applyNumberFormat="1" applyBorder="1" applyAlignment="1">
      <alignment vertical="top"/>
    </xf>
    <xf numFmtId="0" fontId="0" fillId="0" borderId="0" xfId="0" applyAlignment="1">
      <alignment vertical="top"/>
    </xf>
    <xf numFmtId="1" fontId="0" fillId="0" borderId="0" xfId="0" applyNumberFormat="1"/>
    <xf numFmtId="0" fontId="0" fillId="0" borderId="2" xfId="0" applyBorder="1"/>
    <xf numFmtId="1" fontId="0" fillId="0" borderId="3" xfId="0" applyNumberFormat="1" applyBorder="1" applyAlignment="1">
      <alignment horizontal="center"/>
    </xf>
    <xf numFmtId="1" fontId="0" fillId="0" borderId="3" xfId="0" applyNumberFormat="1" applyBorder="1" applyAlignment="1">
      <alignment horizontal="center" vertical="top"/>
    </xf>
    <xf numFmtId="0" fontId="1" fillId="0" borderId="4" xfId="0" applyFont="1" applyBorder="1" applyAlignment="1">
      <alignment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center" vertical="top" wrapText="1"/>
    </xf>
    <xf numFmtId="0" fontId="1" fillId="2" borderId="6" xfId="0" applyFont="1" applyFill="1" applyBorder="1" applyAlignment="1">
      <alignment horizontal="center" vertical="top" wrapText="1"/>
    </xf>
    <xf numFmtId="0" fontId="0" fillId="0" borderId="7" xfId="0" applyBorder="1"/>
    <xf numFmtId="0" fontId="0" fillId="0" borderId="8" xfId="0" applyBorder="1" applyAlignment="1">
      <alignment horizontal="center"/>
    </xf>
    <xf numFmtId="49" fontId="0" fillId="0" borderId="8" xfId="0" applyNumberFormat="1" applyFont="1" applyBorder="1"/>
    <xf numFmtId="49" fontId="0" fillId="0" borderId="8" xfId="0" applyNumberFormat="1" applyBorder="1"/>
    <xf numFmtId="49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5" fillId="0" borderId="1" xfId="0" applyFont="1" applyBorder="1" applyAlignment="1">
      <alignment horizontal="center"/>
    </xf>
    <xf numFmtId="0" fontId="6" fillId="2" borderId="5" xfId="0" applyFont="1" applyFill="1" applyBorder="1" applyAlignment="1">
      <alignment horizontal="center" vertical="top" wrapText="1"/>
    </xf>
    <xf numFmtId="49" fontId="0" fillId="3" borderId="1" xfId="0" applyNumberFormat="1" applyFont="1" applyFill="1" applyBorder="1"/>
    <xf numFmtId="0" fontId="1" fillId="3" borderId="5" xfId="0" applyFont="1" applyFill="1" applyBorder="1" applyAlignment="1">
      <alignment vertical="top" wrapText="1"/>
    </xf>
    <xf numFmtId="49" fontId="7" fillId="0" borderId="1" xfId="0" applyNumberFormat="1" applyFont="1" applyBorder="1"/>
    <xf numFmtId="0" fontId="8" fillId="0" borderId="0" xfId="0" applyFont="1"/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51">
    <dxf>
      <font>
        <b/>
        <i val="0"/>
        <color theme="2"/>
      </font>
      <numFmt numFmtId="30" formatCode="@"/>
      <fill>
        <patternFill>
          <bgColor rgb="FFFFC000"/>
        </patternFill>
      </fill>
    </dxf>
    <dxf>
      <fill>
        <patternFill>
          <bgColor rgb="FFFFFF00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top" textRotation="0" wrapText="1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theme="2"/>
      </font>
      <numFmt numFmtId="30" formatCode="@"/>
      <fill>
        <patternFill>
          <bgColor rgb="FFFFC000"/>
        </patternFill>
      </fill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top" textRotation="0" wrapText="1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/>
        <i val="0"/>
        <color theme="2"/>
      </font>
      <numFmt numFmtId="30" formatCode="@"/>
      <fill>
        <patternFill>
          <bgColor rgb="FFFFC000"/>
        </patternFill>
      </fill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general" vertical="top" textRotation="0" wrapText="1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J407" totalsRowShown="0" headerRowDxfId="50" headerRowBorderDxfId="49" tableBorderDxfId="48" totalsRowBorderDxfId="47">
  <tableColumns count="10">
    <tableColumn id="1" name="Running Sr No" dataDxfId="46"/>
    <tableColumn id="2" name="Block wise Sr. No" dataDxfId="45"/>
    <tableColumn id="3" name="Name" dataDxfId="44"/>
    <tableColumn id="4" name="Rural/ Urban" dataDxfId="43"/>
    <tableColumn id="5" name="Block Name" dataDxfId="42"/>
    <tableColumn id="6" name="No of House Hold" dataDxfId="41"/>
    <tableColumn id="7" name="Total Population" dataDxfId="40"/>
    <tableColumn id="8" name="Total Male" dataDxfId="39"/>
    <tableColumn id="9" name="Total Female" dataDxfId="38"/>
    <tableColumn id="10" name="Sex Ratio" dataDxfId="37">
      <calculatedColumnFormula>I2/H2*1000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1:I426" totalsRowShown="0" headerRowDxfId="30" headerRowBorderDxfId="29" tableBorderDxfId="28" totalsRowBorderDxfId="27">
  <tableColumns count="9">
    <tableColumn id="1" name="Running Sr No" dataDxfId="26"/>
    <tableColumn id="2" name="Block wise Sr. No" dataDxfId="25"/>
    <tableColumn id="3" name="Name" dataDxfId="24"/>
    <tableColumn id="4" name="Rural/ Urban" dataDxfId="23"/>
    <tableColumn id="5" name="Block Name" dataDxfId="22"/>
    <tableColumn id="7" name="Total Population" dataDxfId="21"/>
    <tableColumn id="8" name="Total Male" dataDxfId="20"/>
    <tableColumn id="9" name="Total Female" dataDxfId="19"/>
    <tableColumn id="10" name="Sex Ratio" dataDxfId="18">
      <calculatedColumnFormula>H12/G12*1000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J407" totalsRowShown="0" headerRowDxfId="5" headerRowBorderDxfId="3" tableBorderDxfId="4" totalsRowBorderDxfId="2">
  <tableColumns count="10">
    <tableColumn id="1" name="Running Sr No" dataDxfId="15"/>
    <tableColumn id="2" name="Block wise Sr. No" dataDxfId="14"/>
    <tableColumn id="3" name="Name" dataDxfId="13"/>
    <tableColumn id="4" name="Rural/ Urban" dataDxfId="12"/>
    <tableColumn id="5" name="Block Name" dataDxfId="11"/>
    <tableColumn id="6" name="No of House Hold" dataDxfId="10"/>
    <tableColumn id="7" name="Total Population" dataDxfId="9"/>
    <tableColumn id="8" name="Total Male" dataDxfId="8"/>
    <tableColumn id="9" name="Total Female" dataDxfId="7"/>
    <tableColumn id="10" name="Sex Ratio" dataDxfId="6">
      <calculatedColumnFormula>I2/H2*1000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opLeftCell="A16"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U407"/>
  <sheetViews>
    <sheetView tabSelected="1" workbookViewId="0">
      <selection sqref="A1:XFD1"/>
    </sheetView>
  </sheetViews>
  <sheetFormatPr defaultRowHeight="15"/>
  <cols>
    <col min="1" max="1" width="14.140625" customWidth="1"/>
    <col min="2" max="2" width="16.28515625" customWidth="1"/>
    <col min="3" max="3" width="32.5703125" bestFit="1" customWidth="1"/>
    <col min="4" max="4" width="6.28515625" bestFit="1" customWidth="1"/>
    <col min="5" max="5" width="10.5703125" bestFit="1" customWidth="1"/>
    <col min="6" max="6" width="6" bestFit="1" customWidth="1"/>
    <col min="7" max="7" width="9.42578125" bestFit="1" customWidth="1"/>
    <col min="8" max="8" width="6" bestFit="1" customWidth="1"/>
    <col min="9" max="9" width="6.7109375" bestFit="1" customWidth="1"/>
    <col min="10" max="10" width="10.28515625" customWidth="1"/>
    <col min="11" max="11" width="21.85546875" customWidth="1"/>
    <col min="12" max="13" width="7.140625" bestFit="1" customWidth="1"/>
    <col min="14" max="14" width="9.42578125" bestFit="1" customWidth="1"/>
    <col min="15" max="15" width="7" bestFit="1" customWidth="1"/>
    <col min="16" max="17" width="6" bestFit="1" customWidth="1"/>
    <col min="18" max="19" width="7.7109375" bestFit="1" customWidth="1"/>
    <col min="20" max="20" width="7.85546875" bestFit="1" customWidth="1"/>
  </cols>
  <sheetData>
    <row r="1" spans="1:21" s="2" customFormat="1" ht="42.75" customHeight="1">
      <c r="A1" s="19" t="s">
        <v>440</v>
      </c>
      <c r="B1" s="20" t="s">
        <v>0</v>
      </c>
      <c r="C1" s="36" t="s">
        <v>1</v>
      </c>
      <c r="D1" s="21" t="s">
        <v>442</v>
      </c>
      <c r="E1" s="34" t="s">
        <v>2</v>
      </c>
      <c r="F1" s="21" t="s">
        <v>3</v>
      </c>
      <c r="G1" s="21" t="s">
        <v>4</v>
      </c>
      <c r="H1" s="21" t="s">
        <v>5</v>
      </c>
      <c r="I1" s="21" t="s">
        <v>6</v>
      </c>
      <c r="J1" s="23" t="s">
        <v>7</v>
      </c>
      <c r="K1" s="1" t="s">
        <v>8</v>
      </c>
      <c r="L1" s="1" t="s">
        <v>9</v>
      </c>
      <c r="M1" s="1" t="s">
        <v>10</v>
      </c>
      <c r="N1" s="1" t="s">
        <v>439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</row>
    <row r="2" spans="1:21" ht="18.75" customHeight="1">
      <c r="A2" s="16">
        <v>1</v>
      </c>
      <c r="B2" s="3">
        <v>1</v>
      </c>
      <c r="C2" s="4" t="s">
        <v>17</v>
      </c>
      <c r="D2" s="9" t="s">
        <v>441</v>
      </c>
      <c r="E2" s="5" t="s">
        <v>18</v>
      </c>
      <c r="F2" s="6">
        <v>452</v>
      </c>
      <c r="G2" s="6">
        <v>2211</v>
      </c>
      <c r="H2" s="6">
        <v>1189</v>
      </c>
      <c r="I2" s="6">
        <v>1022</v>
      </c>
      <c r="J2" s="17">
        <f t="shared" ref="J2:J63" si="0">I2/H2*1000</f>
        <v>859.54583683767873</v>
      </c>
      <c r="K2" s="6">
        <v>389</v>
      </c>
      <c r="L2" s="6">
        <v>217</v>
      </c>
      <c r="M2" s="6">
        <v>172</v>
      </c>
      <c r="N2" s="7">
        <f t="shared" ref="N2:N63" si="1">K2/G2*100</f>
        <v>17.59384893713252</v>
      </c>
      <c r="O2" s="6">
        <v>1320</v>
      </c>
      <c r="P2" s="6">
        <v>797</v>
      </c>
      <c r="Q2" s="6">
        <v>523</v>
      </c>
      <c r="R2" s="7">
        <v>70.250133049494394</v>
      </c>
      <c r="S2" s="7">
        <v>79.540918163672657</v>
      </c>
      <c r="T2" s="7">
        <v>59.635119726339802</v>
      </c>
      <c r="U2" s="15">
        <f>IF($J2&gt;900,1,IF($J2&gt;800,2,IF($J2&gt;700,3,0)))</f>
        <v>2</v>
      </c>
    </row>
    <row r="3" spans="1:21" ht="18.75" customHeight="1">
      <c r="A3" s="16">
        <v>2</v>
      </c>
      <c r="B3" s="3">
        <v>2</v>
      </c>
      <c r="C3" s="37" t="s">
        <v>19</v>
      </c>
      <c r="D3" s="9" t="s">
        <v>441</v>
      </c>
      <c r="E3" s="5" t="s">
        <v>18</v>
      </c>
      <c r="F3" s="6">
        <v>1002</v>
      </c>
      <c r="G3" s="6">
        <v>5457</v>
      </c>
      <c r="H3" s="6">
        <v>2852</v>
      </c>
      <c r="I3" s="6">
        <v>2605</v>
      </c>
      <c r="J3" s="17">
        <f t="shared" si="0"/>
        <v>913.39410939691447</v>
      </c>
      <c r="K3" s="6">
        <v>1455</v>
      </c>
      <c r="L3" s="6">
        <v>768</v>
      </c>
      <c r="M3" s="6">
        <v>687</v>
      </c>
      <c r="N3" s="7">
        <f t="shared" si="1"/>
        <v>26.663001649257833</v>
      </c>
      <c r="O3" s="6">
        <v>3401</v>
      </c>
      <c r="P3" s="6">
        <v>1948</v>
      </c>
      <c r="Q3" s="6">
        <v>1453</v>
      </c>
      <c r="R3" s="7">
        <v>72.223401996177529</v>
      </c>
      <c r="S3" s="7">
        <v>79.283679283679291</v>
      </c>
      <c r="T3" s="7">
        <v>64.520426287744229</v>
      </c>
      <c r="U3" s="15">
        <f t="shared" ref="U3:U64" si="2">IF($J3&gt;900,1,IF($J3&gt;800,2,IF($J3&gt;700,3,0)))</f>
        <v>1</v>
      </c>
    </row>
    <row r="4" spans="1:21" ht="18.75" customHeight="1">
      <c r="A4" s="16">
        <v>3</v>
      </c>
      <c r="B4" s="3">
        <v>3</v>
      </c>
      <c r="C4" s="4" t="s">
        <v>20</v>
      </c>
      <c r="D4" s="9" t="s">
        <v>441</v>
      </c>
      <c r="E4" s="5" t="s">
        <v>18</v>
      </c>
      <c r="F4" s="6">
        <v>269</v>
      </c>
      <c r="G4" s="6">
        <v>1670</v>
      </c>
      <c r="H4" s="6">
        <v>892</v>
      </c>
      <c r="I4" s="6">
        <v>778</v>
      </c>
      <c r="J4" s="17">
        <f t="shared" si="0"/>
        <v>872.19730941704029</v>
      </c>
      <c r="K4" s="6">
        <v>163</v>
      </c>
      <c r="L4" s="6">
        <v>90</v>
      </c>
      <c r="M4" s="6">
        <v>73</v>
      </c>
      <c r="N4" s="7">
        <f t="shared" si="1"/>
        <v>9.7604790419161667</v>
      </c>
      <c r="O4" s="6">
        <v>1141</v>
      </c>
      <c r="P4" s="6">
        <v>661</v>
      </c>
      <c r="Q4" s="6">
        <v>480</v>
      </c>
      <c r="R4" s="7">
        <v>77.883959044368595</v>
      </c>
      <c r="S4" s="7">
        <v>84.635083226632517</v>
      </c>
      <c r="T4" s="7">
        <v>70.175438596491219</v>
      </c>
      <c r="U4" s="15">
        <f t="shared" si="2"/>
        <v>2</v>
      </c>
    </row>
    <row r="5" spans="1:21" ht="18.75" customHeight="1">
      <c r="A5" s="16">
        <v>4</v>
      </c>
      <c r="B5" s="3">
        <v>4</v>
      </c>
      <c r="C5" s="35" t="s">
        <v>21</v>
      </c>
      <c r="D5" s="9" t="s">
        <v>441</v>
      </c>
      <c r="E5" s="5" t="s">
        <v>18</v>
      </c>
      <c r="F5" s="6">
        <v>202</v>
      </c>
      <c r="G5" s="6">
        <v>1074</v>
      </c>
      <c r="H5" s="6">
        <v>557</v>
      </c>
      <c r="I5" s="6">
        <v>517</v>
      </c>
      <c r="J5" s="17">
        <f t="shared" si="0"/>
        <v>928.18671454219032</v>
      </c>
      <c r="K5" s="6">
        <v>289</v>
      </c>
      <c r="L5" s="6">
        <v>150</v>
      </c>
      <c r="M5" s="6">
        <v>139</v>
      </c>
      <c r="N5" s="7">
        <f t="shared" si="1"/>
        <v>26.908752327746743</v>
      </c>
      <c r="O5" s="6">
        <v>721</v>
      </c>
      <c r="P5" s="6">
        <v>419</v>
      </c>
      <c r="Q5" s="6">
        <v>302</v>
      </c>
      <c r="R5" s="7">
        <v>76.458112407211033</v>
      </c>
      <c r="S5" s="7">
        <v>87.291666666666671</v>
      </c>
      <c r="T5" s="7">
        <v>65.2267818574514</v>
      </c>
      <c r="U5" s="15">
        <f t="shared" si="2"/>
        <v>1</v>
      </c>
    </row>
    <row r="6" spans="1:21" ht="18.75" customHeight="1">
      <c r="A6" s="16">
        <v>5</v>
      </c>
      <c r="B6" s="3">
        <v>5</v>
      </c>
      <c r="C6" s="4" t="s">
        <v>22</v>
      </c>
      <c r="D6" s="9" t="s">
        <v>441</v>
      </c>
      <c r="E6" s="5" t="s">
        <v>18</v>
      </c>
      <c r="F6" s="6">
        <v>1547</v>
      </c>
      <c r="G6" s="6">
        <v>8167</v>
      </c>
      <c r="H6" s="6">
        <v>4333</v>
      </c>
      <c r="I6" s="6">
        <v>3834</v>
      </c>
      <c r="J6" s="17">
        <f t="shared" si="0"/>
        <v>884.83729517655206</v>
      </c>
      <c r="K6" s="6">
        <v>2128</v>
      </c>
      <c r="L6" s="6">
        <v>1134</v>
      </c>
      <c r="M6" s="6">
        <v>994</v>
      </c>
      <c r="N6" s="7">
        <f t="shared" si="1"/>
        <v>26.056079343700254</v>
      </c>
      <c r="O6" s="6">
        <v>5350</v>
      </c>
      <c r="P6" s="6">
        <v>3163</v>
      </c>
      <c r="Q6" s="6">
        <v>2187</v>
      </c>
      <c r="R6" s="7">
        <v>75.045588441576655</v>
      </c>
      <c r="S6" s="7">
        <v>84.032943676939425</v>
      </c>
      <c r="T6" s="7">
        <v>64.992570579494796</v>
      </c>
      <c r="U6" s="15">
        <f t="shared" si="2"/>
        <v>2</v>
      </c>
    </row>
    <row r="7" spans="1:21" ht="18.75" customHeight="1">
      <c r="A7" s="16">
        <v>6</v>
      </c>
      <c r="B7" s="3">
        <v>6</v>
      </c>
      <c r="C7" s="4" t="s">
        <v>23</v>
      </c>
      <c r="D7" s="9" t="s">
        <v>441</v>
      </c>
      <c r="E7" s="5" t="s">
        <v>18</v>
      </c>
      <c r="F7" s="6">
        <v>450</v>
      </c>
      <c r="G7" s="6">
        <v>2238</v>
      </c>
      <c r="H7" s="6">
        <v>1146</v>
      </c>
      <c r="I7" s="6">
        <v>1092</v>
      </c>
      <c r="J7" s="17">
        <f t="shared" si="0"/>
        <v>952.87958115183244</v>
      </c>
      <c r="K7" s="6">
        <v>834</v>
      </c>
      <c r="L7" s="6">
        <v>421</v>
      </c>
      <c r="M7" s="6">
        <v>413</v>
      </c>
      <c r="N7" s="7">
        <f t="shared" si="1"/>
        <v>37.265415549597861</v>
      </c>
      <c r="O7" s="6">
        <v>1302</v>
      </c>
      <c r="P7" s="6">
        <v>711</v>
      </c>
      <c r="Q7" s="6">
        <v>591</v>
      </c>
      <c r="R7" s="7">
        <v>67.531120331950206</v>
      </c>
      <c r="S7" s="7">
        <v>72.256097560975604</v>
      </c>
      <c r="T7" s="7">
        <v>62.605932203389834</v>
      </c>
      <c r="U7" s="15">
        <f t="shared" si="2"/>
        <v>1</v>
      </c>
    </row>
    <row r="8" spans="1:21" ht="18.75" customHeight="1">
      <c r="A8" s="16">
        <v>7</v>
      </c>
      <c r="B8" s="3">
        <v>7</v>
      </c>
      <c r="C8" s="4" t="s">
        <v>24</v>
      </c>
      <c r="D8" s="9" t="s">
        <v>441</v>
      </c>
      <c r="E8" s="5" t="s">
        <v>18</v>
      </c>
      <c r="F8" s="6">
        <v>361</v>
      </c>
      <c r="G8" s="6">
        <v>2049</v>
      </c>
      <c r="H8" s="6">
        <v>1079</v>
      </c>
      <c r="I8" s="6">
        <v>970</v>
      </c>
      <c r="J8" s="17">
        <f t="shared" si="0"/>
        <v>898.98053753475438</v>
      </c>
      <c r="K8" s="6">
        <v>297</v>
      </c>
      <c r="L8" s="6">
        <v>160</v>
      </c>
      <c r="M8" s="6">
        <v>137</v>
      </c>
      <c r="N8" s="7">
        <f t="shared" si="1"/>
        <v>14.494875549048317</v>
      </c>
      <c r="O8" s="6">
        <v>1387</v>
      </c>
      <c r="P8" s="6">
        <v>794</v>
      </c>
      <c r="Q8" s="6">
        <v>593</v>
      </c>
      <c r="R8" s="7">
        <v>77.141268075639601</v>
      </c>
      <c r="S8" s="7">
        <v>84.199363732767765</v>
      </c>
      <c r="T8" s="7">
        <v>69.356725146198826</v>
      </c>
      <c r="U8" s="15">
        <f t="shared" si="2"/>
        <v>2</v>
      </c>
    </row>
    <row r="9" spans="1:21" ht="18.75" customHeight="1">
      <c r="A9" s="16">
        <v>8</v>
      </c>
      <c r="B9" s="3">
        <v>8</v>
      </c>
      <c r="C9" s="4" t="s">
        <v>25</v>
      </c>
      <c r="D9" s="9" t="s">
        <v>441</v>
      </c>
      <c r="E9" s="5" t="s">
        <v>18</v>
      </c>
      <c r="F9" s="6">
        <v>919</v>
      </c>
      <c r="G9" s="6">
        <v>4784</v>
      </c>
      <c r="H9" s="6">
        <v>2536</v>
      </c>
      <c r="I9" s="6">
        <v>2248</v>
      </c>
      <c r="J9" s="17">
        <f t="shared" si="0"/>
        <v>886.43533123028396</v>
      </c>
      <c r="K9" s="6">
        <v>1592</v>
      </c>
      <c r="L9" s="6">
        <v>810</v>
      </c>
      <c r="M9" s="6">
        <v>782</v>
      </c>
      <c r="N9" s="7">
        <f t="shared" si="1"/>
        <v>33.277591973244149</v>
      </c>
      <c r="O9" s="6">
        <v>2978</v>
      </c>
      <c r="P9" s="6">
        <v>1709</v>
      </c>
      <c r="Q9" s="6">
        <v>1269</v>
      </c>
      <c r="R9" s="7">
        <v>71.38063279002877</v>
      </c>
      <c r="S9" s="7">
        <v>78.322639780018335</v>
      </c>
      <c r="T9" s="7">
        <v>63.768844221105525</v>
      </c>
      <c r="U9" s="15">
        <f t="shared" si="2"/>
        <v>2</v>
      </c>
    </row>
    <row r="10" spans="1:21" ht="18.75" customHeight="1">
      <c r="A10" s="16">
        <v>9</v>
      </c>
      <c r="B10" s="3">
        <v>9</v>
      </c>
      <c r="C10" s="4" t="s">
        <v>26</v>
      </c>
      <c r="D10" s="9" t="s">
        <v>441</v>
      </c>
      <c r="E10" s="5" t="s">
        <v>18</v>
      </c>
      <c r="F10" s="6">
        <v>229</v>
      </c>
      <c r="G10" s="6">
        <v>1116</v>
      </c>
      <c r="H10" s="6">
        <v>598</v>
      </c>
      <c r="I10" s="6">
        <v>518</v>
      </c>
      <c r="J10" s="17">
        <f t="shared" si="0"/>
        <v>866.22073578595314</v>
      </c>
      <c r="K10" s="6">
        <v>352</v>
      </c>
      <c r="L10" s="6">
        <v>194</v>
      </c>
      <c r="M10" s="6">
        <v>158</v>
      </c>
      <c r="N10" s="7">
        <f t="shared" si="1"/>
        <v>31.541218637992831</v>
      </c>
      <c r="O10" s="6">
        <v>708</v>
      </c>
      <c r="P10" s="6">
        <v>410</v>
      </c>
      <c r="Q10" s="6">
        <v>298</v>
      </c>
      <c r="R10" s="7">
        <v>71.155778894472363</v>
      </c>
      <c r="S10" s="7">
        <v>78.095238095238102</v>
      </c>
      <c r="T10" s="7">
        <v>63.404255319148938</v>
      </c>
      <c r="U10" s="15">
        <f t="shared" si="2"/>
        <v>2</v>
      </c>
    </row>
    <row r="11" spans="1:21" ht="18.75" customHeight="1">
      <c r="A11" s="16">
        <v>10</v>
      </c>
      <c r="B11" s="3">
        <v>10</v>
      </c>
      <c r="C11" s="4" t="s">
        <v>27</v>
      </c>
      <c r="D11" s="9" t="s">
        <v>441</v>
      </c>
      <c r="E11" s="5" t="s">
        <v>18</v>
      </c>
      <c r="F11" s="6">
        <v>1175</v>
      </c>
      <c r="G11" s="6">
        <v>6095</v>
      </c>
      <c r="H11" s="6">
        <v>3154</v>
      </c>
      <c r="I11" s="6">
        <v>2941</v>
      </c>
      <c r="J11" s="17">
        <f t="shared" si="0"/>
        <v>932.46670894102726</v>
      </c>
      <c r="K11" s="6">
        <v>1950</v>
      </c>
      <c r="L11" s="6">
        <v>1016</v>
      </c>
      <c r="M11" s="6">
        <v>934</v>
      </c>
      <c r="N11" s="7">
        <f t="shared" si="1"/>
        <v>31.99343724364233</v>
      </c>
      <c r="O11" s="6">
        <v>3868</v>
      </c>
      <c r="P11" s="6">
        <v>2238</v>
      </c>
      <c r="Q11" s="6">
        <v>1630</v>
      </c>
      <c r="R11" s="7">
        <v>73.036253776435046</v>
      </c>
      <c r="S11" s="7">
        <v>82.583025830258308</v>
      </c>
      <c r="T11" s="7">
        <v>63.03170920340294</v>
      </c>
      <c r="U11" s="15">
        <f t="shared" si="2"/>
        <v>1</v>
      </c>
    </row>
    <row r="12" spans="1:21" ht="18.75" customHeight="1">
      <c r="A12" s="16">
        <v>11</v>
      </c>
      <c r="B12" s="3">
        <v>11</v>
      </c>
      <c r="C12" s="4" t="s">
        <v>28</v>
      </c>
      <c r="D12" s="9" t="s">
        <v>441</v>
      </c>
      <c r="E12" s="5" t="s">
        <v>18</v>
      </c>
      <c r="F12" s="6">
        <v>615</v>
      </c>
      <c r="G12" s="6">
        <v>3163</v>
      </c>
      <c r="H12" s="6">
        <v>1690</v>
      </c>
      <c r="I12" s="6">
        <v>1473</v>
      </c>
      <c r="J12" s="17">
        <f t="shared" si="0"/>
        <v>871.59763313609471</v>
      </c>
      <c r="K12" s="6">
        <v>678</v>
      </c>
      <c r="L12" s="6">
        <v>369</v>
      </c>
      <c r="M12" s="6">
        <v>309</v>
      </c>
      <c r="N12" s="7">
        <f t="shared" si="1"/>
        <v>21.435346190325642</v>
      </c>
      <c r="O12" s="6">
        <v>2022</v>
      </c>
      <c r="P12" s="6">
        <v>1213</v>
      </c>
      <c r="Q12" s="6">
        <v>809</v>
      </c>
      <c r="R12" s="7">
        <v>72.86486486486487</v>
      </c>
      <c r="S12" s="7">
        <v>82.070365358592696</v>
      </c>
      <c r="T12" s="7">
        <v>62.374710871241327</v>
      </c>
      <c r="U12" s="15">
        <f t="shared" si="2"/>
        <v>2</v>
      </c>
    </row>
    <row r="13" spans="1:21" ht="18.75" customHeight="1">
      <c r="A13" s="16">
        <v>12</v>
      </c>
      <c r="B13" s="3">
        <v>12</v>
      </c>
      <c r="C13" s="4" t="s">
        <v>29</v>
      </c>
      <c r="D13" s="9" t="s">
        <v>441</v>
      </c>
      <c r="E13" s="5" t="s">
        <v>18</v>
      </c>
      <c r="F13" s="6">
        <v>283</v>
      </c>
      <c r="G13" s="6">
        <v>1538</v>
      </c>
      <c r="H13" s="6">
        <v>812</v>
      </c>
      <c r="I13" s="6">
        <v>726</v>
      </c>
      <c r="J13" s="17">
        <f t="shared" si="0"/>
        <v>894.0886699507389</v>
      </c>
      <c r="K13" s="6">
        <v>315</v>
      </c>
      <c r="L13" s="6">
        <v>169</v>
      </c>
      <c r="M13" s="6">
        <v>146</v>
      </c>
      <c r="N13" s="7">
        <f t="shared" si="1"/>
        <v>20.48114434330299</v>
      </c>
      <c r="O13" s="6">
        <v>1040</v>
      </c>
      <c r="P13" s="6">
        <v>633</v>
      </c>
      <c r="Q13" s="6">
        <v>407</v>
      </c>
      <c r="R13" s="7">
        <v>76.134699853587122</v>
      </c>
      <c r="S13" s="7">
        <v>88.038942976356054</v>
      </c>
      <c r="T13" s="7">
        <v>62.905718701700152</v>
      </c>
      <c r="U13" s="15">
        <f t="shared" si="2"/>
        <v>2</v>
      </c>
    </row>
    <row r="14" spans="1:21" ht="18.75" customHeight="1">
      <c r="A14" s="16">
        <v>13</v>
      </c>
      <c r="B14" s="3">
        <v>13</v>
      </c>
      <c r="C14" s="4" t="s">
        <v>30</v>
      </c>
      <c r="D14" s="9" t="s">
        <v>441</v>
      </c>
      <c r="E14" s="5" t="s">
        <v>18</v>
      </c>
      <c r="F14" s="6">
        <v>243</v>
      </c>
      <c r="G14" s="6">
        <v>1422</v>
      </c>
      <c r="H14" s="6">
        <v>773</v>
      </c>
      <c r="I14" s="6">
        <v>649</v>
      </c>
      <c r="J14" s="17">
        <f t="shared" si="0"/>
        <v>839.58602846054328</v>
      </c>
      <c r="K14" s="6">
        <v>9</v>
      </c>
      <c r="L14" s="6">
        <v>6</v>
      </c>
      <c r="M14" s="6">
        <v>3</v>
      </c>
      <c r="N14" s="7">
        <f t="shared" si="1"/>
        <v>0.63291139240506333</v>
      </c>
      <c r="O14" s="6">
        <v>916</v>
      </c>
      <c r="P14" s="6">
        <v>536</v>
      </c>
      <c r="Q14" s="6">
        <v>380</v>
      </c>
      <c r="R14" s="7">
        <v>73.397435897435898</v>
      </c>
      <c r="S14" s="7">
        <v>80</v>
      </c>
      <c r="T14" s="7">
        <v>65.743944636678194</v>
      </c>
      <c r="U14" s="15">
        <f t="shared" si="2"/>
        <v>2</v>
      </c>
    </row>
    <row r="15" spans="1:21" ht="18.75" customHeight="1">
      <c r="A15" s="16">
        <v>14</v>
      </c>
      <c r="B15" s="3">
        <v>14</v>
      </c>
      <c r="C15" s="4" t="s">
        <v>31</v>
      </c>
      <c r="D15" s="9" t="s">
        <v>441</v>
      </c>
      <c r="E15" s="5" t="s">
        <v>18</v>
      </c>
      <c r="F15" s="6">
        <v>280</v>
      </c>
      <c r="G15" s="6">
        <v>1575</v>
      </c>
      <c r="H15" s="6">
        <v>836</v>
      </c>
      <c r="I15" s="6">
        <v>739</v>
      </c>
      <c r="J15" s="17">
        <f t="shared" si="0"/>
        <v>883.97129186602876</v>
      </c>
      <c r="K15" s="6">
        <v>66</v>
      </c>
      <c r="L15" s="6">
        <v>36</v>
      </c>
      <c r="M15" s="6">
        <v>30</v>
      </c>
      <c r="N15" s="7">
        <f t="shared" si="1"/>
        <v>4.1904761904761907</v>
      </c>
      <c r="O15" s="6">
        <v>997</v>
      </c>
      <c r="P15" s="6">
        <v>572</v>
      </c>
      <c r="Q15" s="6">
        <v>425</v>
      </c>
      <c r="R15" s="7">
        <v>71.726618705035975</v>
      </c>
      <c r="S15" s="7">
        <v>79.22437673130193</v>
      </c>
      <c r="T15" s="7">
        <v>63.622754491017965</v>
      </c>
      <c r="U15" s="15">
        <f t="shared" si="2"/>
        <v>2</v>
      </c>
    </row>
    <row r="16" spans="1:21" ht="18.75" customHeight="1">
      <c r="A16" s="16">
        <v>15</v>
      </c>
      <c r="B16" s="3">
        <v>15</v>
      </c>
      <c r="C16" s="4" t="s">
        <v>32</v>
      </c>
      <c r="D16" s="9" t="s">
        <v>441</v>
      </c>
      <c r="E16" s="5" t="s">
        <v>18</v>
      </c>
      <c r="F16" s="6">
        <v>363</v>
      </c>
      <c r="G16" s="6">
        <v>1811</v>
      </c>
      <c r="H16" s="6">
        <v>963</v>
      </c>
      <c r="I16" s="6">
        <v>848</v>
      </c>
      <c r="J16" s="17">
        <f t="shared" si="0"/>
        <v>880.58151609553477</v>
      </c>
      <c r="K16" s="6">
        <v>290</v>
      </c>
      <c r="L16" s="6">
        <v>155</v>
      </c>
      <c r="M16" s="6">
        <v>135</v>
      </c>
      <c r="N16" s="7">
        <f t="shared" si="1"/>
        <v>16.01325234676974</v>
      </c>
      <c r="O16" s="6">
        <v>1232</v>
      </c>
      <c r="P16" s="6">
        <v>724</v>
      </c>
      <c r="Q16" s="6">
        <v>508</v>
      </c>
      <c r="R16" s="7">
        <v>77.925363693864654</v>
      </c>
      <c r="S16" s="7">
        <v>85.883748517200473</v>
      </c>
      <c r="T16" s="7">
        <v>68.834688346883468</v>
      </c>
      <c r="U16" s="15">
        <f t="shared" si="2"/>
        <v>2</v>
      </c>
    </row>
    <row r="17" spans="1:21" ht="18.75" customHeight="1">
      <c r="A17" s="16">
        <v>16</v>
      </c>
      <c r="B17" s="3">
        <v>16</v>
      </c>
      <c r="C17" s="4" t="s">
        <v>33</v>
      </c>
      <c r="D17" s="9" t="s">
        <v>441</v>
      </c>
      <c r="E17" s="5" t="s">
        <v>18</v>
      </c>
      <c r="F17" s="6">
        <v>150</v>
      </c>
      <c r="G17" s="6">
        <v>756</v>
      </c>
      <c r="H17" s="6">
        <v>399</v>
      </c>
      <c r="I17" s="6">
        <v>357</v>
      </c>
      <c r="J17" s="17">
        <f t="shared" si="0"/>
        <v>894.73684210526312</v>
      </c>
      <c r="K17" s="6">
        <v>248</v>
      </c>
      <c r="L17" s="6">
        <v>123</v>
      </c>
      <c r="M17" s="6">
        <v>125</v>
      </c>
      <c r="N17" s="7">
        <f t="shared" si="1"/>
        <v>32.804232804232804</v>
      </c>
      <c r="O17" s="6">
        <v>506</v>
      </c>
      <c r="P17" s="6">
        <v>299</v>
      </c>
      <c r="Q17" s="6">
        <v>207</v>
      </c>
      <c r="R17" s="7">
        <v>75.97597597597597</v>
      </c>
      <c r="S17" s="7">
        <v>85.673352435530077</v>
      </c>
      <c r="T17" s="7">
        <v>65.29968454258676</v>
      </c>
      <c r="U17" s="15">
        <f t="shared" si="2"/>
        <v>2</v>
      </c>
    </row>
    <row r="18" spans="1:21" ht="18.75" customHeight="1">
      <c r="A18" s="16">
        <v>17</v>
      </c>
      <c r="B18" s="3">
        <v>17</v>
      </c>
      <c r="C18" s="4" t="s">
        <v>34</v>
      </c>
      <c r="D18" s="9" t="s">
        <v>441</v>
      </c>
      <c r="E18" s="5" t="s">
        <v>18</v>
      </c>
      <c r="F18" s="6">
        <v>318</v>
      </c>
      <c r="G18" s="6">
        <v>1513</v>
      </c>
      <c r="H18" s="6">
        <v>810</v>
      </c>
      <c r="I18" s="6">
        <v>703</v>
      </c>
      <c r="J18" s="17">
        <f t="shared" si="0"/>
        <v>867.90123456790127</v>
      </c>
      <c r="K18" s="6">
        <v>742</v>
      </c>
      <c r="L18" s="6">
        <v>397</v>
      </c>
      <c r="M18" s="6">
        <v>345</v>
      </c>
      <c r="N18" s="7">
        <f t="shared" si="1"/>
        <v>49.04163912756114</v>
      </c>
      <c r="O18" s="6">
        <v>954</v>
      </c>
      <c r="P18" s="6">
        <v>558</v>
      </c>
      <c r="Q18" s="6">
        <v>396</v>
      </c>
      <c r="R18" s="7">
        <v>72.218016654049961</v>
      </c>
      <c r="S18" s="7">
        <v>79.600570613409417</v>
      </c>
      <c r="T18" s="7">
        <v>63.87096774193548</v>
      </c>
      <c r="U18" s="15">
        <f t="shared" si="2"/>
        <v>2</v>
      </c>
    </row>
    <row r="19" spans="1:21" ht="18.75" customHeight="1">
      <c r="A19" s="16">
        <v>18</v>
      </c>
      <c r="B19" s="3">
        <v>18</v>
      </c>
      <c r="C19" s="4" t="s">
        <v>35</v>
      </c>
      <c r="D19" s="9" t="s">
        <v>441</v>
      </c>
      <c r="E19" s="5" t="s">
        <v>18</v>
      </c>
      <c r="F19" s="6">
        <v>483</v>
      </c>
      <c r="G19" s="6">
        <v>2392</v>
      </c>
      <c r="H19" s="6">
        <v>1256</v>
      </c>
      <c r="I19" s="6">
        <v>1136</v>
      </c>
      <c r="J19" s="17">
        <f t="shared" si="0"/>
        <v>904.4585987261147</v>
      </c>
      <c r="K19" s="6">
        <v>1012</v>
      </c>
      <c r="L19" s="6">
        <v>531</v>
      </c>
      <c r="M19" s="6">
        <v>481</v>
      </c>
      <c r="N19" s="7">
        <f t="shared" si="1"/>
        <v>42.307692307692307</v>
      </c>
      <c r="O19" s="6">
        <v>1375</v>
      </c>
      <c r="P19" s="6">
        <v>828</v>
      </c>
      <c r="Q19" s="6">
        <v>547</v>
      </c>
      <c r="R19" s="7">
        <v>69.095477386934675</v>
      </c>
      <c r="S19" s="7">
        <v>77.966101694915253</v>
      </c>
      <c r="T19" s="7">
        <v>58.943965517241381</v>
      </c>
      <c r="U19" s="15">
        <f t="shared" si="2"/>
        <v>1</v>
      </c>
    </row>
    <row r="20" spans="1:21" ht="18.75" customHeight="1">
      <c r="A20" s="16">
        <v>19</v>
      </c>
      <c r="B20" s="3">
        <v>19</v>
      </c>
      <c r="C20" s="4" t="s">
        <v>36</v>
      </c>
      <c r="D20" s="9" t="s">
        <v>441</v>
      </c>
      <c r="E20" s="5" t="s">
        <v>18</v>
      </c>
      <c r="F20" s="6">
        <v>83</v>
      </c>
      <c r="G20" s="6">
        <v>449</v>
      </c>
      <c r="H20" s="6">
        <v>250</v>
      </c>
      <c r="I20" s="6">
        <v>199</v>
      </c>
      <c r="J20" s="17">
        <f t="shared" si="0"/>
        <v>796</v>
      </c>
      <c r="K20" s="6">
        <v>115</v>
      </c>
      <c r="L20" s="6">
        <v>56</v>
      </c>
      <c r="M20" s="6">
        <v>59</v>
      </c>
      <c r="N20" s="7">
        <f t="shared" si="1"/>
        <v>25.612472160356347</v>
      </c>
      <c r="O20" s="6">
        <v>261</v>
      </c>
      <c r="P20" s="6">
        <v>149</v>
      </c>
      <c r="Q20" s="6">
        <v>112</v>
      </c>
      <c r="R20" s="7">
        <v>67.095115681233935</v>
      </c>
      <c r="S20" s="7">
        <v>68.663594470046093</v>
      </c>
      <c r="T20" s="7">
        <v>65.116279069767444</v>
      </c>
      <c r="U20" s="15">
        <f t="shared" si="2"/>
        <v>3</v>
      </c>
    </row>
    <row r="21" spans="1:21" ht="18.75" customHeight="1">
      <c r="A21" s="16">
        <v>20</v>
      </c>
      <c r="B21" s="3">
        <v>20</v>
      </c>
      <c r="C21" s="4" t="s">
        <v>37</v>
      </c>
      <c r="D21" s="9" t="s">
        <v>441</v>
      </c>
      <c r="E21" s="5" t="s">
        <v>18</v>
      </c>
      <c r="F21" s="6">
        <v>122</v>
      </c>
      <c r="G21" s="6">
        <v>667</v>
      </c>
      <c r="H21" s="6">
        <v>356</v>
      </c>
      <c r="I21" s="6">
        <v>311</v>
      </c>
      <c r="J21" s="17">
        <f t="shared" si="0"/>
        <v>873.59550561797755</v>
      </c>
      <c r="K21" s="6">
        <v>32</v>
      </c>
      <c r="L21" s="6">
        <v>19</v>
      </c>
      <c r="M21" s="6">
        <v>13</v>
      </c>
      <c r="N21" s="7">
        <f t="shared" si="1"/>
        <v>4.7976011994003001</v>
      </c>
      <c r="O21" s="6">
        <v>483</v>
      </c>
      <c r="P21" s="6">
        <v>279</v>
      </c>
      <c r="Q21" s="6">
        <v>204</v>
      </c>
      <c r="R21" s="7">
        <v>80.099502487562191</v>
      </c>
      <c r="S21" s="7">
        <v>88.571428571428569</v>
      </c>
      <c r="T21" s="7">
        <v>70.833333333333343</v>
      </c>
      <c r="U21" s="15">
        <f t="shared" si="2"/>
        <v>2</v>
      </c>
    </row>
    <row r="22" spans="1:21" ht="18.75" customHeight="1">
      <c r="A22" s="16">
        <v>22</v>
      </c>
      <c r="B22" s="3">
        <v>22</v>
      </c>
      <c r="C22" s="4" t="s">
        <v>39</v>
      </c>
      <c r="D22" s="9" t="s">
        <v>441</v>
      </c>
      <c r="E22" s="5" t="s">
        <v>18</v>
      </c>
      <c r="F22" s="6">
        <v>178</v>
      </c>
      <c r="G22" s="6">
        <v>1040</v>
      </c>
      <c r="H22" s="6">
        <v>533</v>
      </c>
      <c r="I22" s="6">
        <v>507</v>
      </c>
      <c r="J22" s="17">
        <f t="shared" si="0"/>
        <v>951.21951219512187</v>
      </c>
      <c r="K22" s="6">
        <v>561</v>
      </c>
      <c r="L22" s="6">
        <v>280</v>
      </c>
      <c r="M22" s="6">
        <v>281</v>
      </c>
      <c r="N22" s="7">
        <f t="shared" si="1"/>
        <v>53.942307692307686</v>
      </c>
      <c r="O22" s="6">
        <v>669</v>
      </c>
      <c r="P22" s="6">
        <v>385</v>
      </c>
      <c r="Q22" s="6">
        <v>284</v>
      </c>
      <c r="R22" s="7">
        <v>74.250832408435073</v>
      </c>
      <c r="S22" s="7">
        <v>82.089552238805979</v>
      </c>
      <c r="T22" s="7">
        <v>65.740740740740748</v>
      </c>
      <c r="U22" s="15">
        <f t="shared" si="2"/>
        <v>1</v>
      </c>
    </row>
    <row r="23" spans="1:21" ht="18.75" customHeight="1">
      <c r="A23" s="16">
        <v>23</v>
      </c>
      <c r="B23" s="3">
        <v>23</v>
      </c>
      <c r="C23" s="4" t="s">
        <v>40</v>
      </c>
      <c r="D23" s="9" t="s">
        <v>441</v>
      </c>
      <c r="E23" s="5" t="s">
        <v>18</v>
      </c>
      <c r="F23" s="6">
        <v>802</v>
      </c>
      <c r="G23" s="6">
        <v>4358</v>
      </c>
      <c r="H23" s="6">
        <v>2300</v>
      </c>
      <c r="I23" s="6">
        <v>2058</v>
      </c>
      <c r="J23" s="17">
        <f t="shared" si="0"/>
        <v>894.78260869565213</v>
      </c>
      <c r="K23" s="6">
        <v>1492</v>
      </c>
      <c r="L23" s="6">
        <v>779</v>
      </c>
      <c r="M23" s="6">
        <v>713</v>
      </c>
      <c r="N23" s="7">
        <f t="shared" si="1"/>
        <v>34.235888022028455</v>
      </c>
      <c r="O23" s="6">
        <v>2650</v>
      </c>
      <c r="P23" s="6">
        <v>1513</v>
      </c>
      <c r="Q23" s="6">
        <v>1137</v>
      </c>
      <c r="R23" s="7">
        <v>71.563597083445856</v>
      </c>
      <c r="S23" s="7">
        <v>78.556593977154719</v>
      </c>
      <c r="T23" s="7">
        <v>63.984243106359031</v>
      </c>
      <c r="U23" s="15">
        <f t="shared" si="2"/>
        <v>2</v>
      </c>
    </row>
    <row r="24" spans="1:21" ht="18.75" customHeight="1">
      <c r="A24" s="16">
        <v>24</v>
      </c>
      <c r="B24" s="3">
        <v>24</v>
      </c>
      <c r="C24" s="4" t="s">
        <v>41</v>
      </c>
      <c r="D24" s="9" t="s">
        <v>441</v>
      </c>
      <c r="E24" s="5" t="s">
        <v>18</v>
      </c>
      <c r="F24" s="6">
        <v>447</v>
      </c>
      <c r="G24" s="6">
        <v>2345</v>
      </c>
      <c r="H24" s="6">
        <v>1222</v>
      </c>
      <c r="I24" s="6">
        <v>1123</v>
      </c>
      <c r="J24" s="17">
        <f t="shared" si="0"/>
        <v>918.98527004909977</v>
      </c>
      <c r="K24" s="6">
        <v>1005</v>
      </c>
      <c r="L24" s="6">
        <v>515</v>
      </c>
      <c r="M24" s="6">
        <v>490</v>
      </c>
      <c r="N24" s="7">
        <f t="shared" si="1"/>
        <v>42.857142857142854</v>
      </c>
      <c r="O24" s="6">
        <v>1501</v>
      </c>
      <c r="P24" s="6">
        <v>903</v>
      </c>
      <c r="Q24" s="6">
        <v>598</v>
      </c>
      <c r="R24" s="7">
        <v>74.34373452204062</v>
      </c>
      <c r="S24" s="7">
        <v>84.47146866230122</v>
      </c>
      <c r="T24" s="7">
        <v>62.94736842105263</v>
      </c>
      <c r="U24" s="15">
        <f t="shared" si="2"/>
        <v>1</v>
      </c>
    </row>
    <row r="25" spans="1:21" ht="18.75" customHeight="1">
      <c r="A25" s="16">
        <v>25</v>
      </c>
      <c r="B25" s="3">
        <v>25</v>
      </c>
      <c r="C25" s="4" t="s">
        <v>42</v>
      </c>
      <c r="D25" s="9" t="s">
        <v>441</v>
      </c>
      <c r="E25" s="5" t="s">
        <v>18</v>
      </c>
      <c r="F25" s="6">
        <v>324</v>
      </c>
      <c r="G25" s="6">
        <v>1696</v>
      </c>
      <c r="H25" s="6">
        <v>898</v>
      </c>
      <c r="I25" s="6">
        <v>798</v>
      </c>
      <c r="J25" s="17">
        <f t="shared" si="0"/>
        <v>888.641425389755</v>
      </c>
      <c r="K25" s="6">
        <v>658</v>
      </c>
      <c r="L25" s="6">
        <v>329</v>
      </c>
      <c r="M25" s="6">
        <v>329</v>
      </c>
      <c r="N25" s="7">
        <f t="shared" si="1"/>
        <v>38.797169811320757</v>
      </c>
      <c r="O25" s="6">
        <v>1085</v>
      </c>
      <c r="P25" s="6">
        <v>647</v>
      </c>
      <c r="Q25" s="6">
        <v>438</v>
      </c>
      <c r="R25" s="7">
        <v>74.827586206896555</v>
      </c>
      <c r="S25" s="7">
        <v>85.243741765480891</v>
      </c>
      <c r="T25" s="7">
        <v>63.386396526772792</v>
      </c>
      <c r="U25" s="15">
        <f t="shared" si="2"/>
        <v>2</v>
      </c>
    </row>
    <row r="26" spans="1:21" ht="18.75" customHeight="1">
      <c r="A26" s="16">
        <v>26</v>
      </c>
      <c r="B26" s="3">
        <v>26</v>
      </c>
      <c r="C26" s="4" t="s">
        <v>43</v>
      </c>
      <c r="D26" s="9" t="s">
        <v>441</v>
      </c>
      <c r="E26" s="5" t="s">
        <v>18</v>
      </c>
      <c r="F26" s="6">
        <v>106</v>
      </c>
      <c r="G26" s="6">
        <v>597</v>
      </c>
      <c r="H26" s="6">
        <v>327</v>
      </c>
      <c r="I26" s="6">
        <v>270</v>
      </c>
      <c r="J26" s="17">
        <f t="shared" si="0"/>
        <v>825.6880733944954</v>
      </c>
      <c r="K26" s="6">
        <v>96</v>
      </c>
      <c r="L26" s="6">
        <v>48</v>
      </c>
      <c r="M26" s="6">
        <v>48</v>
      </c>
      <c r="N26" s="7">
        <f t="shared" si="1"/>
        <v>16.08040201005025</v>
      </c>
      <c r="O26" s="6">
        <v>408</v>
      </c>
      <c r="P26" s="6">
        <v>237</v>
      </c>
      <c r="Q26" s="6">
        <v>171</v>
      </c>
      <c r="R26" s="7">
        <v>80.157170923379169</v>
      </c>
      <c r="S26" s="7">
        <v>85.869565217391312</v>
      </c>
      <c r="T26" s="7">
        <v>73.39055793991416</v>
      </c>
      <c r="U26" s="15">
        <f t="shared" si="2"/>
        <v>2</v>
      </c>
    </row>
    <row r="27" spans="1:21" ht="18.75" customHeight="1">
      <c r="A27" s="16">
        <v>27</v>
      </c>
      <c r="B27" s="3">
        <v>27</v>
      </c>
      <c r="C27" s="4" t="s">
        <v>44</v>
      </c>
      <c r="D27" s="9" t="s">
        <v>441</v>
      </c>
      <c r="E27" s="5" t="s">
        <v>18</v>
      </c>
      <c r="F27" s="6">
        <v>432</v>
      </c>
      <c r="G27" s="6">
        <v>2279</v>
      </c>
      <c r="H27" s="6">
        <v>1210</v>
      </c>
      <c r="I27" s="6">
        <v>1069</v>
      </c>
      <c r="J27" s="17">
        <f t="shared" si="0"/>
        <v>883.47107438016531</v>
      </c>
      <c r="K27" s="6">
        <v>453</v>
      </c>
      <c r="L27" s="6">
        <v>241</v>
      </c>
      <c r="M27" s="6">
        <v>212</v>
      </c>
      <c r="N27" s="7">
        <f t="shared" si="1"/>
        <v>19.87713909609478</v>
      </c>
      <c r="O27" s="6">
        <v>1442</v>
      </c>
      <c r="P27" s="6">
        <v>905</v>
      </c>
      <c r="Q27" s="6">
        <v>537</v>
      </c>
      <c r="R27" s="7">
        <v>71.812749003984067</v>
      </c>
      <c r="S27" s="7">
        <v>84.896810506566595</v>
      </c>
      <c r="T27" s="7">
        <v>57.00636942675159</v>
      </c>
      <c r="U27" s="15">
        <f t="shared" si="2"/>
        <v>2</v>
      </c>
    </row>
    <row r="28" spans="1:21" ht="18.75" customHeight="1">
      <c r="A28" s="16">
        <v>28</v>
      </c>
      <c r="B28" s="3">
        <v>28</v>
      </c>
      <c r="C28" s="4" t="s">
        <v>45</v>
      </c>
      <c r="D28" s="9" t="s">
        <v>441</v>
      </c>
      <c r="E28" s="5" t="s">
        <v>18</v>
      </c>
      <c r="F28" s="6">
        <v>6</v>
      </c>
      <c r="G28" s="6">
        <v>30</v>
      </c>
      <c r="H28" s="6">
        <v>20</v>
      </c>
      <c r="I28" s="6">
        <v>10</v>
      </c>
      <c r="J28" s="17">
        <f t="shared" si="0"/>
        <v>500</v>
      </c>
      <c r="K28" s="6">
        <v>15</v>
      </c>
      <c r="L28" s="6">
        <v>9</v>
      </c>
      <c r="M28" s="6">
        <v>6</v>
      </c>
      <c r="N28" s="7">
        <f t="shared" si="1"/>
        <v>50</v>
      </c>
      <c r="O28" s="6">
        <v>21</v>
      </c>
      <c r="P28" s="6">
        <v>16</v>
      </c>
      <c r="Q28" s="6">
        <v>5</v>
      </c>
      <c r="R28" s="7">
        <v>70</v>
      </c>
      <c r="S28" s="7">
        <v>80</v>
      </c>
      <c r="T28" s="7">
        <v>50</v>
      </c>
      <c r="U28" s="15">
        <f t="shared" si="2"/>
        <v>0</v>
      </c>
    </row>
    <row r="29" spans="1:21" ht="18.75" customHeight="1">
      <c r="A29" s="16">
        <v>29</v>
      </c>
      <c r="B29" s="3">
        <v>29</v>
      </c>
      <c r="C29" s="4" t="s">
        <v>46</v>
      </c>
      <c r="D29" s="9" t="s">
        <v>441</v>
      </c>
      <c r="E29" s="5" t="s">
        <v>18</v>
      </c>
      <c r="F29" s="6">
        <v>295</v>
      </c>
      <c r="G29" s="6">
        <v>1390</v>
      </c>
      <c r="H29" s="6">
        <v>728</v>
      </c>
      <c r="I29" s="6">
        <v>662</v>
      </c>
      <c r="J29" s="17">
        <f t="shared" si="0"/>
        <v>909.34065934065939</v>
      </c>
      <c r="K29" s="6">
        <v>330</v>
      </c>
      <c r="L29" s="6">
        <v>165</v>
      </c>
      <c r="M29" s="6">
        <v>165</v>
      </c>
      <c r="N29" s="7">
        <f t="shared" si="1"/>
        <v>23.741007194244602</v>
      </c>
      <c r="O29" s="6">
        <v>894</v>
      </c>
      <c r="P29" s="6">
        <v>493</v>
      </c>
      <c r="Q29" s="6">
        <v>401</v>
      </c>
      <c r="R29" s="7">
        <v>72.801302931596084</v>
      </c>
      <c r="S29" s="7">
        <v>77.515723270440247</v>
      </c>
      <c r="T29" s="7">
        <v>67.736486486486484</v>
      </c>
      <c r="U29" s="15">
        <f t="shared" si="2"/>
        <v>1</v>
      </c>
    </row>
    <row r="30" spans="1:21" ht="18.75" customHeight="1">
      <c r="A30" s="16">
        <v>30</v>
      </c>
      <c r="B30" s="3">
        <v>30</v>
      </c>
      <c r="C30" s="4" t="s">
        <v>47</v>
      </c>
      <c r="D30" s="9" t="s">
        <v>441</v>
      </c>
      <c r="E30" s="5" t="s">
        <v>18</v>
      </c>
      <c r="F30" s="6">
        <v>243</v>
      </c>
      <c r="G30" s="6">
        <v>1180</v>
      </c>
      <c r="H30" s="6">
        <v>587</v>
      </c>
      <c r="I30" s="6">
        <v>593</v>
      </c>
      <c r="J30" s="17">
        <f t="shared" si="0"/>
        <v>1010.221465076661</v>
      </c>
      <c r="K30" s="6">
        <v>108</v>
      </c>
      <c r="L30" s="6">
        <v>53</v>
      </c>
      <c r="M30" s="6">
        <v>55</v>
      </c>
      <c r="N30" s="7">
        <f t="shared" si="1"/>
        <v>9.1525423728813564</v>
      </c>
      <c r="O30" s="6">
        <v>747</v>
      </c>
      <c r="P30" s="6">
        <v>383</v>
      </c>
      <c r="Q30" s="6">
        <v>364</v>
      </c>
      <c r="R30" s="7">
        <v>71.142857142857139</v>
      </c>
      <c r="S30" s="7">
        <v>74.081237911025141</v>
      </c>
      <c r="T30" s="7">
        <v>68.292682926829272</v>
      </c>
      <c r="U30" s="15">
        <f t="shared" si="2"/>
        <v>1</v>
      </c>
    </row>
    <row r="31" spans="1:21" ht="18.75" customHeight="1">
      <c r="A31" s="16">
        <v>31</v>
      </c>
      <c r="B31" s="3">
        <v>31</v>
      </c>
      <c r="C31" s="4" t="s">
        <v>48</v>
      </c>
      <c r="D31" s="9" t="s">
        <v>441</v>
      </c>
      <c r="E31" s="5" t="s">
        <v>18</v>
      </c>
      <c r="F31" s="6">
        <v>862</v>
      </c>
      <c r="G31" s="6">
        <v>4404</v>
      </c>
      <c r="H31" s="6">
        <v>2306</v>
      </c>
      <c r="I31" s="6">
        <v>2098</v>
      </c>
      <c r="J31" s="17">
        <f t="shared" si="0"/>
        <v>909.80052038161318</v>
      </c>
      <c r="K31" s="6">
        <v>830</v>
      </c>
      <c r="L31" s="6">
        <v>423</v>
      </c>
      <c r="M31" s="6">
        <v>407</v>
      </c>
      <c r="N31" s="7">
        <f t="shared" si="1"/>
        <v>18.846503178928248</v>
      </c>
      <c r="O31" s="6">
        <v>2705</v>
      </c>
      <c r="P31" s="6">
        <v>1600</v>
      </c>
      <c r="Q31" s="6">
        <v>1105</v>
      </c>
      <c r="R31" s="7">
        <v>70.571354030785287</v>
      </c>
      <c r="S31" s="7">
        <v>79.800498753117211</v>
      </c>
      <c r="T31" s="7">
        <v>60.448577680525162</v>
      </c>
      <c r="U31" s="15">
        <f t="shared" si="2"/>
        <v>1</v>
      </c>
    </row>
    <row r="32" spans="1:21" ht="18.75" customHeight="1">
      <c r="A32" s="16">
        <v>32</v>
      </c>
      <c r="B32" s="3">
        <v>32</v>
      </c>
      <c r="C32" s="4" t="s">
        <v>49</v>
      </c>
      <c r="D32" s="9" t="s">
        <v>441</v>
      </c>
      <c r="E32" s="5" t="s">
        <v>18</v>
      </c>
      <c r="F32" s="6">
        <v>217</v>
      </c>
      <c r="G32" s="6">
        <v>1097</v>
      </c>
      <c r="H32" s="6">
        <v>574</v>
      </c>
      <c r="I32" s="6">
        <v>523</v>
      </c>
      <c r="J32" s="17">
        <f t="shared" si="0"/>
        <v>911.14982578397212</v>
      </c>
      <c r="K32" s="6">
        <v>655</v>
      </c>
      <c r="L32" s="6">
        <v>334</v>
      </c>
      <c r="M32" s="6">
        <v>321</v>
      </c>
      <c r="N32" s="7">
        <f t="shared" si="1"/>
        <v>59.708295350957151</v>
      </c>
      <c r="O32" s="6">
        <v>667</v>
      </c>
      <c r="P32" s="6">
        <v>379</v>
      </c>
      <c r="Q32" s="6">
        <v>288</v>
      </c>
      <c r="R32" s="7">
        <v>70.063025210084035</v>
      </c>
      <c r="S32" s="7">
        <v>75.498007968127496</v>
      </c>
      <c r="T32" s="7">
        <v>64</v>
      </c>
      <c r="U32" s="15">
        <f t="shared" si="2"/>
        <v>1</v>
      </c>
    </row>
    <row r="33" spans="1:21" ht="18.75" customHeight="1">
      <c r="A33" s="16">
        <v>33</v>
      </c>
      <c r="B33" s="3">
        <v>33</v>
      </c>
      <c r="C33" s="4" t="s">
        <v>50</v>
      </c>
      <c r="D33" s="9" t="s">
        <v>441</v>
      </c>
      <c r="E33" s="5" t="s">
        <v>18</v>
      </c>
      <c r="F33" s="6">
        <v>59</v>
      </c>
      <c r="G33" s="6">
        <v>293</v>
      </c>
      <c r="H33" s="6">
        <v>149</v>
      </c>
      <c r="I33" s="6">
        <v>144</v>
      </c>
      <c r="J33" s="17">
        <f t="shared" si="0"/>
        <v>966.44295302013427</v>
      </c>
      <c r="K33" s="6">
        <v>23</v>
      </c>
      <c r="L33" s="6">
        <v>12</v>
      </c>
      <c r="M33" s="6">
        <v>11</v>
      </c>
      <c r="N33" s="7">
        <f t="shared" si="1"/>
        <v>7.8498293515358366</v>
      </c>
      <c r="O33" s="6">
        <v>186</v>
      </c>
      <c r="P33" s="6">
        <v>105</v>
      </c>
      <c r="Q33" s="6">
        <v>81</v>
      </c>
      <c r="R33" s="7">
        <v>73.80952380952381</v>
      </c>
      <c r="S33" s="7">
        <v>80.769230769230774</v>
      </c>
      <c r="T33" s="7">
        <v>66.393442622950815</v>
      </c>
      <c r="U33" s="15">
        <f t="shared" si="2"/>
        <v>1</v>
      </c>
    </row>
    <row r="34" spans="1:21" ht="18.75" customHeight="1">
      <c r="A34" s="16">
        <v>34</v>
      </c>
      <c r="B34" s="3">
        <v>34</v>
      </c>
      <c r="C34" s="4" t="s">
        <v>51</v>
      </c>
      <c r="D34" s="9" t="s">
        <v>441</v>
      </c>
      <c r="E34" s="5" t="s">
        <v>18</v>
      </c>
      <c r="F34" s="6">
        <v>147</v>
      </c>
      <c r="G34" s="6">
        <v>751</v>
      </c>
      <c r="H34" s="6">
        <v>407</v>
      </c>
      <c r="I34" s="6">
        <v>344</v>
      </c>
      <c r="J34" s="17">
        <f t="shared" si="0"/>
        <v>845.20884520884522</v>
      </c>
      <c r="K34" s="6">
        <v>98</v>
      </c>
      <c r="L34" s="6">
        <v>51</v>
      </c>
      <c r="M34" s="6">
        <v>47</v>
      </c>
      <c r="N34" s="7">
        <f t="shared" si="1"/>
        <v>13.049267643142477</v>
      </c>
      <c r="O34" s="6">
        <v>499</v>
      </c>
      <c r="P34" s="6">
        <v>304</v>
      </c>
      <c r="Q34" s="6">
        <v>195</v>
      </c>
      <c r="R34" s="7">
        <v>72.953216374269005</v>
      </c>
      <c r="S34" s="7">
        <v>81.501340482573724</v>
      </c>
      <c r="T34" s="7">
        <v>62.700964630225073</v>
      </c>
      <c r="U34" s="15">
        <f t="shared" si="2"/>
        <v>2</v>
      </c>
    </row>
    <row r="35" spans="1:21" ht="18.75" customHeight="1">
      <c r="A35" s="16">
        <v>35</v>
      </c>
      <c r="B35" s="3">
        <v>35</v>
      </c>
      <c r="C35" s="4" t="s">
        <v>52</v>
      </c>
      <c r="D35" s="9" t="s">
        <v>441</v>
      </c>
      <c r="E35" s="5" t="s">
        <v>18</v>
      </c>
      <c r="F35" s="6">
        <v>193</v>
      </c>
      <c r="G35" s="6">
        <v>1146</v>
      </c>
      <c r="H35" s="6">
        <v>592</v>
      </c>
      <c r="I35" s="6">
        <v>554</v>
      </c>
      <c r="J35" s="17">
        <f t="shared" si="0"/>
        <v>935.81081081081084</v>
      </c>
      <c r="K35" s="6">
        <v>387</v>
      </c>
      <c r="L35" s="6">
        <v>198</v>
      </c>
      <c r="M35" s="6">
        <v>189</v>
      </c>
      <c r="N35" s="7">
        <f t="shared" si="1"/>
        <v>33.769633507853399</v>
      </c>
      <c r="O35" s="6">
        <v>763</v>
      </c>
      <c r="P35" s="6">
        <v>444</v>
      </c>
      <c r="Q35" s="6">
        <v>319</v>
      </c>
      <c r="R35" s="7">
        <v>75.320829220138208</v>
      </c>
      <c r="S35" s="7">
        <v>84.732824427480907</v>
      </c>
      <c r="T35" s="7">
        <v>65.235173824130882</v>
      </c>
      <c r="U35" s="15">
        <f t="shared" si="2"/>
        <v>1</v>
      </c>
    </row>
    <row r="36" spans="1:21" ht="18.75" customHeight="1">
      <c r="A36" s="16">
        <v>36</v>
      </c>
      <c r="B36" s="3">
        <v>36</v>
      </c>
      <c r="C36" s="4" t="s">
        <v>53</v>
      </c>
      <c r="D36" s="9" t="s">
        <v>441</v>
      </c>
      <c r="E36" s="5" t="s">
        <v>18</v>
      </c>
      <c r="F36" s="6">
        <v>278</v>
      </c>
      <c r="G36" s="6">
        <v>1615</v>
      </c>
      <c r="H36" s="6">
        <v>868</v>
      </c>
      <c r="I36" s="6">
        <v>747</v>
      </c>
      <c r="J36" s="17">
        <f t="shared" si="0"/>
        <v>860.59907834101375</v>
      </c>
      <c r="K36" s="6">
        <v>482</v>
      </c>
      <c r="L36" s="6">
        <v>263</v>
      </c>
      <c r="M36" s="6">
        <v>219</v>
      </c>
      <c r="N36" s="7">
        <f t="shared" si="1"/>
        <v>29.845201238390096</v>
      </c>
      <c r="O36" s="6">
        <v>1034</v>
      </c>
      <c r="P36" s="6">
        <v>618</v>
      </c>
      <c r="Q36" s="6">
        <v>416</v>
      </c>
      <c r="R36" s="7">
        <v>73.594306049822066</v>
      </c>
      <c r="S36" s="7">
        <v>82.290279627163784</v>
      </c>
      <c r="T36" s="7">
        <v>63.608562691131496</v>
      </c>
      <c r="U36" s="15">
        <f t="shared" si="2"/>
        <v>2</v>
      </c>
    </row>
    <row r="37" spans="1:21" ht="18.75" customHeight="1">
      <c r="A37" s="16">
        <v>37</v>
      </c>
      <c r="B37" s="3">
        <v>37</v>
      </c>
      <c r="C37" s="4" t="s">
        <v>54</v>
      </c>
      <c r="D37" s="9" t="s">
        <v>441</v>
      </c>
      <c r="E37" s="5" t="s">
        <v>18</v>
      </c>
      <c r="F37" s="6">
        <v>1219</v>
      </c>
      <c r="G37" s="6">
        <v>6485</v>
      </c>
      <c r="H37" s="6">
        <v>3364</v>
      </c>
      <c r="I37" s="6">
        <v>3121</v>
      </c>
      <c r="J37" s="17">
        <f t="shared" si="0"/>
        <v>927.76456599286564</v>
      </c>
      <c r="K37" s="6">
        <v>2367</v>
      </c>
      <c r="L37" s="6">
        <v>1219</v>
      </c>
      <c r="M37" s="6">
        <v>1148</v>
      </c>
      <c r="N37" s="7">
        <f t="shared" si="1"/>
        <v>36.499614494988435</v>
      </c>
      <c r="O37" s="6">
        <v>3979</v>
      </c>
      <c r="P37" s="6">
        <v>2317</v>
      </c>
      <c r="Q37" s="6">
        <v>1662</v>
      </c>
      <c r="R37" s="7">
        <v>71.926970354302242</v>
      </c>
      <c r="S37" s="7">
        <v>80.563282336578581</v>
      </c>
      <c r="T37" s="7">
        <v>62.575301204819276</v>
      </c>
      <c r="U37" s="15">
        <f t="shared" si="2"/>
        <v>1</v>
      </c>
    </row>
    <row r="38" spans="1:21" ht="18.75" customHeight="1">
      <c r="A38" s="16">
        <v>38</v>
      </c>
      <c r="B38" s="3">
        <v>38</v>
      </c>
      <c r="C38" s="4" t="s">
        <v>55</v>
      </c>
      <c r="D38" s="9" t="s">
        <v>441</v>
      </c>
      <c r="E38" s="5" t="s">
        <v>18</v>
      </c>
      <c r="F38" s="6">
        <v>498</v>
      </c>
      <c r="G38" s="6">
        <v>2798</v>
      </c>
      <c r="H38" s="6">
        <v>1476</v>
      </c>
      <c r="I38" s="6">
        <v>1322</v>
      </c>
      <c r="J38" s="17">
        <f t="shared" si="0"/>
        <v>895.66395663956644</v>
      </c>
      <c r="K38" s="6">
        <v>835</v>
      </c>
      <c r="L38" s="6">
        <v>434</v>
      </c>
      <c r="M38" s="6">
        <v>401</v>
      </c>
      <c r="N38" s="7">
        <f t="shared" si="1"/>
        <v>29.842744817726945</v>
      </c>
      <c r="O38" s="6">
        <v>1702</v>
      </c>
      <c r="P38" s="6">
        <v>1005</v>
      </c>
      <c r="Q38" s="6">
        <v>697</v>
      </c>
      <c r="R38" s="7">
        <v>70.185567010309285</v>
      </c>
      <c r="S38" s="7">
        <v>78.761755485893417</v>
      </c>
      <c r="T38" s="7">
        <v>60.661444734551786</v>
      </c>
      <c r="U38" s="15">
        <f t="shared" si="2"/>
        <v>2</v>
      </c>
    </row>
    <row r="39" spans="1:21" ht="18.75" customHeight="1">
      <c r="A39" s="16">
        <v>39</v>
      </c>
      <c r="B39" s="3">
        <v>39</v>
      </c>
      <c r="C39" s="4" t="s">
        <v>56</v>
      </c>
      <c r="D39" s="9" t="s">
        <v>441</v>
      </c>
      <c r="E39" s="5" t="s">
        <v>18</v>
      </c>
      <c r="F39" s="6">
        <v>69</v>
      </c>
      <c r="G39" s="6">
        <v>328</v>
      </c>
      <c r="H39" s="6">
        <v>164</v>
      </c>
      <c r="I39" s="6">
        <v>164</v>
      </c>
      <c r="J39" s="17">
        <f t="shared" si="0"/>
        <v>1000</v>
      </c>
      <c r="K39" s="6">
        <v>273</v>
      </c>
      <c r="L39" s="6">
        <v>136</v>
      </c>
      <c r="M39" s="6">
        <v>137</v>
      </c>
      <c r="N39" s="7">
        <f t="shared" si="1"/>
        <v>83.231707317073173</v>
      </c>
      <c r="O39" s="6">
        <v>182</v>
      </c>
      <c r="P39" s="6">
        <v>103</v>
      </c>
      <c r="Q39" s="6">
        <v>79</v>
      </c>
      <c r="R39" s="7">
        <v>67.407407407407405</v>
      </c>
      <c r="S39" s="7">
        <v>75.735294117647058</v>
      </c>
      <c r="T39" s="7">
        <v>58.955223880597018</v>
      </c>
      <c r="U39" s="15">
        <f t="shared" si="2"/>
        <v>1</v>
      </c>
    </row>
    <row r="40" spans="1:21" ht="18.75" customHeight="1">
      <c r="A40" s="16">
        <v>40</v>
      </c>
      <c r="B40" s="3">
        <v>40</v>
      </c>
      <c r="C40" s="4" t="s">
        <v>57</v>
      </c>
      <c r="D40" s="9" t="s">
        <v>441</v>
      </c>
      <c r="E40" s="5" t="s">
        <v>18</v>
      </c>
      <c r="F40" s="6">
        <v>233</v>
      </c>
      <c r="G40" s="6">
        <v>1264</v>
      </c>
      <c r="H40" s="6">
        <v>656</v>
      </c>
      <c r="I40" s="6">
        <v>608</v>
      </c>
      <c r="J40" s="17">
        <f t="shared" si="0"/>
        <v>926.82926829268297</v>
      </c>
      <c r="K40" s="6">
        <v>151</v>
      </c>
      <c r="L40" s="6">
        <v>76</v>
      </c>
      <c r="M40" s="6">
        <v>75</v>
      </c>
      <c r="N40" s="7">
        <f t="shared" si="1"/>
        <v>11.94620253164557</v>
      </c>
      <c r="O40" s="6">
        <v>909</v>
      </c>
      <c r="P40" s="6">
        <v>506</v>
      </c>
      <c r="Q40" s="6">
        <v>403</v>
      </c>
      <c r="R40" s="7">
        <v>81.160714285714292</v>
      </c>
      <c r="S40" s="7">
        <v>87.543252595155707</v>
      </c>
      <c r="T40" s="7">
        <v>74.354243542435427</v>
      </c>
      <c r="U40" s="15">
        <f t="shared" si="2"/>
        <v>1</v>
      </c>
    </row>
    <row r="41" spans="1:21" ht="18.75" customHeight="1">
      <c r="A41" s="16">
        <v>41</v>
      </c>
      <c r="B41" s="3">
        <v>41</v>
      </c>
      <c r="C41" s="4" t="s">
        <v>58</v>
      </c>
      <c r="D41" s="9" t="s">
        <v>441</v>
      </c>
      <c r="E41" s="5" t="s">
        <v>18</v>
      </c>
      <c r="F41" s="6">
        <v>187</v>
      </c>
      <c r="G41" s="6">
        <v>915</v>
      </c>
      <c r="H41" s="6">
        <v>484</v>
      </c>
      <c r="I41" s="6">
        <v>431</v>
      </c>
      <c r="J41" s="17">
        <f t="shared" si="0"/>
        <v>890.49586776859496</v>
      </c>
      <c r="K41" s="6">
        <v>491</v>
      </c>
      <c r="L41" s="6">
        <v>262</v>
      </c>
      <c r="M41" s="6">
        <v>229</v>
      </c>
      <c r="N41" s="7">
        <f t="shared" si="1"/>
        <v>53.661202185792348</v>
      </c>
      <c r="O41" s="6">
        <v>586</v>
      </c>
      <c r="P41" s="6">
        <v>346</v>
      </c>
      <c r="Q41" s="6">
        <v>240</v>
      </c>
      <c r="R41" s="7">
        <v>74.271229404309253</v>
      </c>
      <c r="S41" s="7">
        <v>84.18491484184915</v>
      </c>
      <c r="T41" s="7">
        <v>63.492063492063487</v>
      </c>
      <c r="U41" s="15">
        <f t="shared" si="2"/>
        <v>2</v>
      </c>
    </row>
    <row r="42" spans="1:21" ht="18.75" customHeight="1">
      <c r="A42" s="16">
        <v>42</v>
      </c>
      <c r="B42" s="3">
        <v>42</v>
      </c>
      <c r="C42" s="4" t="s">
        <v>59</v>
      </c>
      <c r="D42" s="9" t="s">
        <v>441</v>
      </c>
      <c r="E42" s="5" t="s">
        <v>18</v>
      </c>
      <c r="F42" s="6">
        <v>179</v>
      </c>
      <c r="G42" s="6">
        <v>902</v>
      </c>
      <c r="H42" s="6">
        <v>463</v>
      </c>
      <c r="I42" s="6">
        <v>439</v>
      </c>
      <c r="J42" s="17">
        <f t="shared" si="0"/>
        <v>948.16414686825055</v>
      </c>
      <c r="K42" s="6">
        <v>277</v>
      </c>
      <c r="L42" s="6">
        <v>144</v>
      </c>
      <c r="M42" s="6">
        <v>133</v>
      </c>
      <c r="N42" s="7">
        <f t="shared" si="1"/>
        <v>30.709534368070951</v>
      </c>
      <c r="O42" s="6">
        <v>623</v>
      </c>
      <c r="P42" s="6">
        <v>351</v>
      </c>
      <c r="Q42" s="6">
        <v>272</v>
      </c>
      <c r="R42" s="7">
        <v>79.871794871794876</v>
      </c>
      <c r="S42" s="7">
        <v>88.413098236775824</v>
      </c>
      <c r="T42" s="7">
        <v>71.018276762402081</v>
      </c>
      <c r="U42" s="15">
        <f t="shared" si="2"/>
        <v>1</v>
      </c>
    </row>
    <row r="43" spans="1:21" ht="18.75" customHeight="1">
      <c r="A43" s="16">
        <v>43</v>
      </c>
      <c r="B43" s="3">
        <v>43</v>
      </c>
      <c r="C43" s="4" t="s">
        <v>60</v>
      </c>
      <c r="D43" s="9" t="s">
        <v>441</v>
      </c>
      <c r="E43" s="5" t="s">
        <v>18</v>
      </c>
      <c r="F43" s="6">
        <v>357</v>
      </c>
      <c r="G43" s="6">
        <v>1945</v>
      </c>
      <c r="H43" s="6">
        <v>1037</v>
      </c>
      <c r="I43" s="6">
        <v>908</v>
      </c>
      <c r="J43" s="17">
        <f t="shared" si="0"/>
        <v>875.60270009643205</v>
      </c>
      <c r="K43" s="6">
        <v>154</v>
      </c>
      <c r="L43" s="6">
        <v>91</v>
      </c>
      <c r="M43" s="6">
        <v>63</v>
      </c>
      <c r="N43" s="7">
        <f t="shared" si="1"/>
        <v>7.9177377892030849</v>
      </c>
      <c r="O43" s="6">
        <v>1260</v>
      </c>
      <c r="P43" s="6">
        <v>735</v>
      </c>
      <c r="Q43" s="6">
        <v>525</v>
      </c>
      <c r="R43" s="7">
        <v>74.777448071216611</v>
      </c>
      <c r="S43" s="7">
        <v>82.214765100671144</v>
      </c>
      <c r="T43" s="7">
        <v>66.371681415929203</v>
      </c>
      <c r="U43" s="15">
        <f t="shared" si="2"/>
        <v>2</v>
      </c>
    </row>
    <row r="44" spans="1:21" ht="18.75" customHeight="1">
      <c r="A44" s="16">
        <v>44</v>
      </c>
      <c r="B44" s="3">
        <v>44</v>
      </c>
      <c r="C44" s="4" t="s">
        <v>61</v>
      </c>
      <c r="D44" s="9" t="s">
        <v>441</v>
      </c>
      <c r="E44" s="5" t="s">
        <v>18</v>
      </c>
      <c r="F44" s="6">
        <v>365</v>
      </c>
      <c r="G44" s="6">
        <v>2078</v>
      </c>
      <c r="H44" s="6">
        <v>1085</v>
      </c>
      <c r="I44" s="6">
        <v>993</v>
      </c>
      <c r="J44" s="17">
        <f t="shared" si="0"/>
        <v>915.20737327188942</v>
      </c>
      <c r="K44" s="6">
        <v>479</v>
      </c>
      <c r="L44" s="6">
        <v>256</v>
      </c>
      <c r="M44" s="6">
        <v>223</v>
      </c>
      <c r="N44" s="7">
        <f t="shared" si="1"/>
        <v>23.051010587102983</v>
      </c>
      <c r="O44" s="6">
        <v>1182</v>
      </c>
      <c r="P44" s="6">
        <v>699</v>
      </c>
      <c r="Q44" s="6">
        <v>483</v>
      </c>
      <c r="R44" s="7">
        <v>67.235494880546071</v>
      </c>
      <c r="S44" s="7">
        <v>75.978260869565219</v>
      </c>
      <c r="T44" s="7">
        <v>57.637231503579955</v>
      </c>
      <c r="U44" s="15">
        <f t="shared" si="2"/>
        <v>1</v>
      </c>
    </row>
    <row r="45" spans="1:21" ht="18.75" customHeight="1">
      <c r="A45" s="16">
        <v>45</v>
      </c>
      <c r="B45" s="3">
        <v>45</v>
      </c>
      <c r="C45" s="4" t="s">
        <v>62</v>
      </c>
      <c r="D45" s="9" t="s">
        <v>441</v>
      </c>
      <c r="E45" s="5" t="s">
        <v>18</v>
      </c>
      <c r="F45" s="6">
        <v>240</v>
      </c>
      <c r="G45" s="6">
        <v>1199</v>
      </c>
      <c r="H45" s="6">
        <v>621</v>
      </c>
      <c r="I45" s="6">
        <v>578</v>
      </c>
      <c r="J45" s="17">
        <f t="shared" si="0"/>
        <v>930.75684380032203</v>
      </c>
      <c r="K45" s="6">
        <v>516</v>
      </c>
      <c r="L45" s="6">
        <v>264</v>
      </c>
      <c r="M45" s="6">
        <v>252</v>
      </c>
      <c r="N45" s="7">
        <f t="shared" si="1"/>
        <v>43.035863219349459</v>
      </c>
      <c r="O45" s="6">
        <v>718</v>
      </c>
      <c r="P45" s="6">
        <v>423</v>
      </c>
      <c r="Q45" s="6">
        <v>295</v>
      </c>
      <c r="R45" s="7">
        <v>69.641125121241515</v>
      </c>
      <c r="S45" s="7">
        <v>79.362101313320821</v>
      </c>
      <c r="T45" s="7">
        <v>59.23694779116466</v>
      </c>
      <c r="U45" s="15">
        <f t="shared" si="2"/>
        <v>1</v>
      </c>
    </row>
    <row r="46" spans="1:21" ht="18.75" customHeight="1">
      <c r="A46" s="16">
        <v>46</v>
      </c>
      <c r="B46" s="3">
        <v>46</v>
      </c>
      <c r="C46" s="4" t="s">
        <v>63</v>
      </c>
      <c r="D46" s="9" t="s">
        <v>441</v>
      </c>
      <c r="E46" s="5" t="s">
        <v>18</v>
      </c>
      <c r="F46" s="6">
        <v>1363</v>
      </c>
      <c r="G46" s="6">
        <v>7344</v>
      </c>
      <c r="H46" s="6">
        <v>3869</v>
      </c>
      <c r="I46" s="6">
        <v>3475</v>
      </c>
      <c r="J46" s="17">
        <f t="shared" si="0"/>
        <v>898.16490049108302</v>
      </c>
      <c r="K46" s="6">
        <v>1317</v>
      </c>
      <c r="L46" s="6">
        <v>690</v>
      </c>
      <c r="M46" s="6">
        <v>627</v>
      </c>
      <c r="N46" s="7">
        <f t="shared" si="1"/>
        <v>17.933006535947712</v>
      </c>
      <c r="O46" s="6">
        <v>4313</v>
      </c>
      <c r="P46" s="6">
        <v>2571</v>
      </c>
      <c r="Q46" s="6">
        <v>1742</v>
      </c>
      <c r="R46" s="7">
        <v>67.55952380952381</v>
      </c>
      <c r="S46" s="7">
        <v>76.449598572702953</v>
      </c>
      <c r="T46" s="7">
        <v>57.66302548824892</v>
      </c>
      <c r="U46" s="15">
        <f t="shared" si="2"/>
        <v>2</v>
      </c>
    </row>
    <row r="47" spans="1:21" ht="18.75" customHeight="1">
      <c r="A47" s="16">
        <v>47</v>
      </c>
      <c r="B47" s="3">
        <v>47</v>
      </c>
      <c r="C47" s="4" t="s">
        <v>64</v>
      </c>
      <c r="D47" s="9" t="s">
        <v>441</v>
      </c>
      <c r="E47" s="5" t="s">
        <v>18</v>
      </c>
      <c r="F47" s="6">
        <v>178</v>
      </c>
      <c r="G47" s="6">
        <v>874</v>
      </c>
      <c r="H47" s="6">
        <v>463</v>
      </c>
      <c r="I47" s="6">
        <v>411</v>
      </c>
      <c r="J47" s="17">
        <f t="shared" si="0"/>
        <v>887.68898488120954</v>
      </c>
      <c r="K47" s="6">
        <v>276</v>
      </c>
      <c r="L47" s="6">
        <v>138</v>
      </c>
      <c r="M47" s="6">
        <v>138</v>
      </c>
      <c r="N47" s="7">
        <f t="shared" si="1"/>
        <v>31.578947368421051</v>
      </c>
      <c r="O47" s="6">
        <v>524</v>
      </c>
      <c r="P47" s="6">
        <v>302</v>
      </c>
      <c r="Q47" s="6">
        <v>222</v>
      </c>
      <c r="R47" s="7">
        <v>67.700258397932828</v>
      </c>
      <c r="S47" s="7">
        <v>74.201474201474198</v>
      </c>
      <c r="T47" s="7">
        <v>60.490463215258863</v>
      </c>
      <c r="U47" s="15">
        <f t="shared" si="2"/>
        <v>2</v>
      </c>
    </row>
    <row r="48" spans="1:21" ht="18.75" customHeight="1">
      <c r="A48" s="16">
        <v>48</v>
      </c>
      <c r="B48" s="3">
        <v>48</v>
      </c>
      <c r="C48" s="4" t="s">
        <v>65</v>
      </c>
      <c r="D48" s="9" t="s">
        <v>441</v>
      </c>
      <c r="E48" s="5" t="s">
        <v>18</v>
      </c>
      <c r="F48" s="6">
        <v>385</v>
      </c>
      <c r="G48" s="6">
        <v>1940</v>
      </c>
      <c r="H48" s="6">
        <v>1032</v>
      </c>
      <c r="I48" s="6">
        <v>908</v>
      </c>
      <c r="J48" s="17">
        <f t="shared" si="0"/>
        <v>879.84496124031011</v>
      </c>
      <c r="K48" s="6">
        <v>903</v>
      </c>
      <c r="L48" s="6">
        <v>480</v>
      </c>
      <c r="M48" s="6">
        <v>423</v>
      </c>
      <c r="N48" s="7">
        <f t="shared" si="1"/>
        <v>46.546391752577321</v>
      </c>
      <c r="O48" s="6">
        <v>1108</v>
      </c>
      <c r="P48" s="6">
        <v>664</v>
      </c>
      <c r="Q48" s="6">
        <v>444</v>
      </c>
      <c r="R48" s="7">
        <v>67.233009708737868</v>
      </c>
      <c r="S48" s="7">
        <v>76.321839080459768</v>
      </c>
      <c r="T48" s="7">
        <v>57.069408740359897</v>
      </c>
      <c r="U48" s="15">
        <f t="shared" si="2"/>
        <v>2</v>
      </c>
    </row>
    <row r="49" spans="1:21" ht="18.75" customHeight="1">
      <c r="A49" s="16">
        <v>49</v>
      </c>
      <c r="B49" s="3">
        <v>49</v>
      </c>
      <c r="C49" s="4" t="s">
        <v>66</v>
      </c>
      <c r="D49" s="9" t="s">
        <v>441</v>
      </c>
      <c r="E49" s="5" t="s">
        <v>18</v>
      </c>
      <c r="F49" s="6">
        <v>1005</v>
      </c>
      <c r="G49" s="6">
        <v>5182</v>
      </c>
      <c r="H49" s="6">
        <v>2636</v>
      </c>
      <c r="I49" s="6">
        <v>2546</v>
      </c>
      <c r="J49" s="17">
        <f t="shared" si="0"/>
        <v>965.85735963581192</v>
      </c>
      <c r="K49" s="6">
        <v>430</v>
      </c>
      <c r="L49" s="6">
        <v>217</v>
      </c>
      <c r="M49" s="6">
        <v>213</v>
      </c>
      <c r="N49" s="7">
        <f t="shared" si="1"/>
        <v>8.2979544577383262</v>
      </c>
      <c r="O49" s="6">
        <v>3210</v>
      </c>
      <c r="P49" s="6">
        <v>1734</v>
      </c>
      <c r="Q49" s="6">
        <v>1476</v>
      </c>
      <c r="R49" s="7">
        <v>70.876573194965772</v>
      </c>
      <c r="S49" s="7">
        <v>76.759628154050461</v>
      </c>
      <c r="T49" s="7">
        <v>65.022026431718061</v>
      </c>
      <c r="U49" s="15">
        <f t="shared" si="2"/>
        <v>1</v>
      </c>
    </row>
    <row r="50" spans="1:21" ht="18.75" customHeight="1">
      <c r="A50" s="16">
        <v>50</v>
      </c>
      <c r="B50" s="3">
        <v>50</v>
      </c>
      <c r="C50" s="4" t="s">
        <v>67</v>
      </c>
      <c r="D50" s="9" t="s">
        <v>441</v>
      </c>
      <c r="E50" s="5" t="s">
        <v>18</v>
      </c>
      <c r="F50" s="6">
        <v>251</v>
      </c>
      <c r="G50" s="6">
        <v>1375</v>
      </c>
      <c r="H50" s="6">
        <v>725</v>
      </c>
      <c r="I50" s="6">
        <v>650</v>
      </c>
      <c r="J50" s="17">
        <f t="shared" si="0"/>
        <v>896.55172413793105</v>
      </c>
      <c r="K50" s="6">
        <v>625</v>
      </c>
      <c r="L50" s="6">
        <v>319</v>
      </c>
      <c r="M50" s="6">
        <v>306</v>
      </c>
      <c r="N50" s="7">
        <f t="shared" si="1"/>
        <v>45.454545454545453</v>
      </c>
      <c r="O50" s="6">
        <v>862</v>
      </c>
      <c r="P50" s="6">
        <v>508</v>
      </c>
      <c r="Q50" s="6">
        <v>354</v>
      </c>
      <c r="R50" s="7">
        <v>72.681281618887013</v>
      </c>
      <c r="S50" s="7">
        <v>80.634920634920633</v>
      </c>
      <c r="T50" s="7">
        <v>63.669064748201443</v>
      </c>
      <c r="U50" s="15">
        <f t="shared" si="2"/>
        <v>2</v>
      </c>
    </row>
    <row r="51" spans="1:21" ht="18.75" customHeight="1">
      <c r="A51" s="16">
        <v>51</v>
      </c>
      <c r="B51" s="3">
        <v>51</v>
      </c>
      <c r="C51" s="4" t="s">
        <v>68</v>
      </c>
      <c r="D51" s="9" t="s">
        <v>441</v>
      </c>
      <c r="E51" s="5" t="s">
        <v>18</v>
      </c>
      <c r="F51" s="6">
        <v>1046</v>
      </c>
      <c r="G51" s="6">
        <v>5490</v>
      </c>
      <c r="H51" s="6">
        <v>2829</v>
      </c>
      <c r="I51" s="6">
        <v>2661</v>
      </c>
      <c r="J51" s="17">
        <f t="shared" si="0"/>
        <v>940.61505832449632</v>
      </c>
      <c r="K51" s="6">
        <v>1519</v>
      </c>
      <c r="L51" s="6">
        <v>771</v>
      </c>
      <c r="M51" s="6">
        <v>748</v>
      </c>
      <c r="N51" s="7">
        <f t="shared" si="1"/>
        <v>27.668488160291439</v>
      </c>
      <c r="O51" s="6">
        <v>3560</v>
      </c>
      <c r="P51" s="6">
        <v>2058</v>
      </c>
      <c r="Q51" s="6">
        <v>1502</v>
      </c>
      <c r="R51" s="7">
        <v>74.931593348768672</v>
      </c>
      <c r="S51" s="7">
        <v>84.413453650533228</v>
      </c>
      <c r="T51" s="7">
        <v>64.937310851707736</v>
      </c>
      <c r="U51" s="15">
        <f t="shared" si="2"/>
        <v>1</v>
      </c>
    </row>
    <row r="52" spans="1:21" ht="18.75" customHeight="1">
      <c r="A52" s="16">
        <v>52</v>
      </c>
      <c r="B52" s="3">
        <v>52</v>
      </c>
      <c r="C52" s="4" t="s">
        <v>69</v>
      </c>
      <c r="D52" s="9" t="s">
        <v>441</v>
      </c>
      <c r="E52" s="5" t="s">
        <v>18</v>
      </c>
      <c r="F52" s="6">
        <v>156</v>
      </c>
      <c r="G52" s="6">
        <v>845</v>
      </c>
      <c r="H52" s="6">
        <v>438</v>
      </c>
      <c r="I52" s="6">
        <v>407</v>
      </c>
      <c r="J52" s="17">
        <f t="shared" si="0"/>
        <v>929.22374429223737</v>
      </c>
      <c r="K52" s="6">
        <v>5</v>
      </c>
      <c r="L52" s="6">
        <v>4</v>
      </c>
      <c r="M52" s="6">
        <v>1</v>
      </c>
      <c r="N52" s="7">
        <f t="shared" si="1"/>
        <v>0.59171597633136097</v>
      </c>
      <c r="O52" s="6">
        <v>585</v>
      </c>
      <c r="P52" s="6">
        <v>345</v>
      </c>
      <c r="Q52" s="6">
        <v>240</v>
      </c>
      <c r="R52" s="7">
        <v>76.271186440677965</v>
      </c>
      <c r="S52" s="7">
        <v>87.341772151898738</v>
      </c>
      <c r="T52" s="7">
        <v>64.516129032258064</v>
      </c>
      <c r="U52" s="15">
        <f t="shared" si="2"/>
        <v>1</v>
      </c>
    </row>
    <row r="53" spans="1:21" ht="18.75" customHeight="1">
      <c r="A53" s="16">
        <v>53</v>
      </c>
      <c r="B53" s="3">
        <v>53</v>
      </c>
      <c r="C53" s="4" t="s">
        <v>70</v>
      </c>
      <c r="D53" s="9" t="s">
        <v>441</v>
      </c>
      <c r="E53" s="5" t="s">
        <v>18</v>
      </c>
      <c r="F53" s="6">
        <v>126</v>
      </c>
      <c r="G53" s="6">
        <v>651</v>
      </c>
      <c r="H53" s="6">
        <v>329</v>
      </c>
      <c r="I53" s="6">
        <v>322</v>
      </c>
      <c r="J53" s="17">
        <f t="shared" si="0"/>
        <v>978.72340425531911</v>
      </c>
      <c r="K53" s="6">
        <v>30</v>
      </c>
      <c r="L53" s="6">
        <v>15</v>
      </c>
      <c r="M53" s="6">
        <v>15</v>
      </c>
      <c r="N53" s="7">
        <f t="shared" si="1"/>
        <v>4.6082949308755765</v>
      </c>
      <c r="O53" s="6">
        <v>401</v>
      </c>
      <c r="P53" s="6">
        <v>223</v>
      </c>
      <c r="Q53" s="6">
        <v>178</v>
      </c>
      <c r="R53" s="7">
        <v>71.479500891265602</v>
      </c>
      <c r="S53" s="7">
        <v>78.798586572438168</v>
      </c>
      <c r="T53" s="7">
        <v>64.02877697841727</v>
      </c>
      <c r="U53" s="15">
        <f t="shared" si="2"/>
        <v>1</v>
      </c>
    </row>
    <row r="54" spans="1:21" ht="18.75" customHeight="1">
      <c r="A54" s="16">
        <v>55</v>
      </c>
      <c r="B54" s="3">
        <v>55</v>
      </c>
      <c r="C54" s="4" t="s">
        <v>72</v>
      </c>
      <c r="D54" s="9" t="s">
        <v>441</v>
      </c>
      <c r="E54" s="5" t="s">
        <v>18</v>
      </c>
      <c r="F54" s="6">
        <v>204</v>
      </c>
      <c r="G54" s="6">
        <v>1127</v>
      </c>
      <c r="H54" s="6">
        <v>589</v>
      </c>
      <c r="I54" s="6">
        <v>538</v>
      </c>
      <c r="J54" s="17">
        <f t="shared" si="0"/>
        <v>913.41256366723258</v>
      </c>
      <c r="K54" s="6">
        <v>401</v>
      </c>
      <c r="L54" s="6">
        <v>208</v>
      </c>
      <c r="M54" s="6">
        <v>193</v>
      </c>
      <c r="N54" s="7">
        <f t="shared" si="1"/>
        <v>35.581188997338067</v>
      </c>
      <c r="O54" s="6">
        <v>691</v>
      </c>
      <c r="P54" s="6">
        <v>394</v>
      </c>
      <c r="Q54" s="6">
        <v>297</v>
      </c>
      <c r="R54" s="7">
        <v>71.458117890382624</v>
      </c>
      <c r="S54" s="7">
        <v>78.642714570858288</v>
      </c>
      <c r="T54" s="7">
        <v>63.733905579399142</v>
      </c>
      <c r="U54" s="15">
        <f t="shared" si="2"/>
        <v>1</v>
      </c>
    </row>
    <row r="55" spans="1:21" ht="18.75" customHeight="1">
      <c r="A55" s="16">
        <v>56</v>
      </c>
      <c r="B55" s="3">
        <v>56</v>
      </c>
      <c r="C55" s="4" t="s">
        <v>73</v>
      </c>
      <c r="D55" s="9" t="s">
        <v>441</v>
      </c>
      <c r="E55" s="5" t="s">
        <v>18</v>
      </c>
      <c r="F55" s="6">
        <v>196</v>
      </c>
      <c r="G55" s="6">
        <v>963</v>
      </c>
      <c r="H55" s="6">
        <v>515</v>
      </c>
      <c r="I55" s="6">
        <v>448</v>
      </c>
      <c r="J55" s="17">
        <f t="shared" si="0"/>
        <v>869.90291262135918</v>
      </c>
      <c r="K55" s="6">
        <v>1</v>
      </c>
      <c r="L55" s="6">
        <v>1</v>
      </c>
      <c r="M55" s="6">
        <v>0</v>
      </c>
      <c r="N55" s="7">
        <f t="shared" si="1"/>
        <v>0.10384215991692627</v>
      </c>
      <c r="O55" s="6">
        <v>648</v>
      </c>
      <c r="P55" s="6">
        <v>390</v>
      </c>
      <c r="Q55" s="6">
        <v>258</v>
      </c>
      <c r="R55" s="7">
        <v>78.166465621230401</v>
      </c>
      <c r="S55" s="7">
        <v>88.235294117647058</v>
      </c>
      <c r="T55" s="7">
        <v>66.666666666666657</v>
      </c>
      <c r="U55" s="15">
        <f t="shared" si="2"/>
        <v>2</v>
      </c>
    </row>
    <row r="56" spans="1:21" ht="18.75" customHeight="1">
      <c r="A56" s="16">
        <v>57</v>
      </c>
      <c r="B56" s="3">
        <v>57</v>
      </c>
      <c r="C56" s="4" t="s">
        <v>74</v>
      </c>
      <c r="D56" s="9" t="s">
        <v>441</v>
      </c>
      <c r="E56" s="5" t="s">
        <v>18</v>
      </c>
      <c r="F56" s="6">
        <v>42</v>
      </c>
      <c r="G56" s="6">
        <v>201</v>
      </c>
      <c r="H56" s="6">
        <v>107</v>
      </c>
      <c r="I56" s="6">
        <v>94</v>
      </c>
      <c r="J56" s="17">
        <f t="shared" si="0"/>
        <v>878.5046728971962</v>
      </c>
      <c r="K56" s="6">
        <v>12</v>
      </c>
      <c r="L56" s="6">
        <v>6</v>
      </c>
      <c r="M56" s="6">
        <v>6</v>
      </c>
      <c r="N56" s="7">
        <f t="shared" si="1"/>
        <v>5.9701492537313428</v>
      </c>
      <c r="O56" s="6">
        <v>160</v>
      </c>
      <c r="P56" s="6">
        <v>92</v>
      </c>
      <c r="Q56" s="6">
        <v>68</v>
      </c>
      <c r="R56" s="7">
        <v>84.210526315789465</v>
      </c>
      <c r="S56" s="7">
        <v>92.929292929292927</v>
      </c>
      <c r="T56" s="7">
        <v>74.72527472527473</v>
      </c>
      <c r="U56" s="15">
        <f t="shared" si="2"/>
        <v>2</v>
      </c>
    </row>
    <row r="57" spans="1:21" ht="18.75" customHeight="1">
      <c r="A57" s="16">
        <v>58</v>
      </c>
      <c r="B57" s="3">
        <v>58</v>
      </c>
      <c r="C57" s="4" t="s">
        <v>75</v>
      </c>
      <c r="D57" s="9" t="s">
        <v>441</v>
      </c>
      <c r="E57" s="5" t="s">
        <v>18</v>
      </c>
      <c r="F57" s="6">
        <v>13</v>
      </c>
      <c r="G57" s="6">
        <v>97</v>
      </c>
      <c r="H57" s="6">
        <v>52</v>
      </c>
      <c r="I57" s="6">
        <v>45</v>
      </c>
      <c r="J57" s="17">
        <f t="shared" si="0"/>
        <v>865.38461538461547</v>
      </c>
      <c r="K57" s="6">
        <v>10</v>
      </c>
      <c r="L57" s="6">
        <v>5</v>
      </c>
      <c r="M57" s="6">
        <v>5</v>
      </c>
      <c r="N57" s="7">
        <f t="shared" si="1"/>
        <v>10.309278350515463</v>
      </c>
      <c r="O57" s="6">
        <v>75</v>
      </c>
      <c r="P57" s="6">
        <v>43</v>
      </c>
      <c r="Q57" s="6">
        <v>32</v>
      </c>
      <c r="R57" s="7">
        <v>84.269662921348313</v>
      </c>
      <c r="S57" s="7">
        <v>89.583333333333343</v>
      </c>
      <c r="T57" s="7">
        <v>78.048780487804876</v>
      </c>
      <c r="U57" s="15">
        <f t="shared" si="2"/>
        <v>2</v>
      </c>
    </row>
    <row r="58" spans="1:21" ht="18.75" customHeight="1">
      <c r="A58" s="16">
        <v>59</v>
      </c>
      <c r="B58" s="3">
        <v>59</v>
      </c>
      <c r="C58" s="4" t="s">
        <v>76</v>
      </c>
      <c r="D58" s="9" t="s">
        <v>441</v>
      </c>
      <c r="E58" s="5" t="s">
        <v>18</v>
      </c>
      <c r="F58" s="6">
        <v>385</v>
      </c>
      <c r="G58" s="6">
        <v>2001</v>
      </c>
      <c r="H58" s="6">
        <v>1071</v>
      </c>
      <c r="I58" s="6">
        <v>930</v>
      </c>
      <c r="J58" s="17">
        <f t="shared" si="0"/>
        <v>868.34733893557427</v>
      </c>
      <c r="K58" s="6">
        <v>976</v>
      </c>
      <c r="L58" s="6">
        <v>518</v>
      </c>
      <c r="M58" s="6">
        <v>458</v>
      </c>
      <c r="N58" s="7">
        <f t="shared" si="1"/>
        <v>48.775612193903051</v>
      </c>
      <c r="O58" s="6">
        <v>1234</v>
      </c>
      <c r="P58" s="6">
        <v>739</v>
      </c>
      <c r="Q58" s="6">
        <v>495</v>
      </c>
      <c r="R58" s="7">
        <v>71.953352769679299</v>
      </c>
      <c r="S58" s="7">
        <v>82.01997780244173</v>
      </c>
      <c r="T58" s="7">
        <v>60.810810810810814</v>
      </c>
      <c r="U58" s="15">
        <f t="shared" si="2"/>
        <v>2</v>
      </c>
    </row>
    <row r="59" spans="1:21" ht="18.75" customHeight="1">
      <c r="A59" s="16">
        <v>60</v>
      </c>
      <c r="B59" s="3">
        <v>60</v>
      </c>
      <c r="C59" s="4" t="s">
        <v>77</v>
      </c>
      <c r="D59" s="9" t="s">
        <v>441</v>
      </c>
      <c r="E59" s="5" t="s">
        <v>18</v>
      </c>
      <c r="F59" s="6">
        <v>176</v>
      </c>
      <c r="G59" s="6">
        <v>961</v>
      </c>
      <c r="H59" s="6">
        <v>495</v>
      </c>
      <c r="I59" s="6">
        <v>466</v>
      </c>
      <c r="J59" s="17">
        <f t="shared" si="0"/>
        <v>941.41414141414134</v>
      </c>
      <c r="K59" s="6">
        <v>254</v>
      </c>
      <c r="L59" s="6">
        <v>130</v>
      </c>
      <c r="M59" s="6">
        <v>124</v>
      </c>
      <c r="N59" s="7">
        <f t="shared" si="1"/>
        <v>26.430801248699272</v>
      </c>
      <c r="O59" s="6">
        <v>590</v>
      </c>
      <c r="P59" s="6">
        <v>344</v>
      </c>
      <c r="Q59" s="6">
        <v>246</v>
      </c>
      <c r="R59" s="7">
        <v>69.167643610785461</v>
      </c>
      <c r="S59" s="7">
        <v>78.181818181818187</v>
      </c>
      <c r="T59" s="7">
        <v>59.564164648910413</v>
      </c>
      <c r="U59" s="15">
        <f t="shared" si="2"/>
        <v>1</v>
      </c>
    </row>
    <row r="60" spans="1:21" ht="18.75" customHeight="1">
      <c r="A60" s="16">
        <v>61</v>
      </c>
      <c r="B60" s="3">
        <v>61</v>
      </c>
      <c r="C60" s="4" t="s">
        <v>78</v>
      </c>
      <c r="D60" s="9" t="s">
        <v>441</v>
      </c>
      <c r="E60" s="5" t="s">
        <v>18</v>
      </c>
      <c r="F60" s="6">
        <v>364</v>
      </c>
      <c r="G60" s="6">
        <v>1802</v>
      </c>
      <c r="H60" s="6">
        <v>962</v>
      </c>
      <c r="I60" s="6">
        <v>840</v>
      </c>
      <c r="J60" s="17">
        <f t="shared" si="0"/>
        <v>873.18087318087328</v>
      </c>
      <c r="K60" s="6">
        <v>674</v>
      </c>
      <c r="L60" s="6">
        <v>373</v>
      </c>
      <c r="M60" s="6">
        <v>301</v>
      </c>
      <c r="N60" s="7">
        <f t="shared" si="1"/>
        <v>37.402885682574919</v>
      </c>
      <c r="O60" s="6">
        <v>1190</v>
      </c>
      <c r="P60" s="6">
        <v>687</v>
      </c>
      <c r="Q60" s="6">
        <v>503</v>
      </c>
      <c r="R60" s="7">
        <v>74.468085106382972</v>
      </c>
      <c r="S60" s="7">
        <v>81.39810426540285</v>
      </c>
      <c r="T60" s="7">
        <v>66.710875331564992</v>
      </c>
      <c r="U60" s="15">
        <f t="shared" si="2"/>
        <v>2</v>
      </c>
    </row>
    <row r="61" spans="1:21" ht="18.75" customHeight="1">
      <c r="A61" s="16">
        <v>62</v>
      </c>
      <c r="B61" s="3">
        <v>62</v>
      </c>
      <c r="C61" s="4" t="s">
        <v>79</v>
      </c>
      <c r="D61" s="9" t="s">
        <v>441</v>
      </c>
      <c r="E61" s="5" t="s">
        <v>18</v>
      </c>
      <c r="F61" s="6">
        <v>386</v>
      </c>
      <c r="G61" s="6">
        <v>1854</v>
      </c>
      <c r="H61" s="6">
        <v>1001</v>
      </c>
      <c r="I61" s="6">
        <v>853</v>
      </c>
      <c r="J61" s="17">
        <f t="shared" si="0"/>
        <v>852.14785214785218</v>
      </c>
      <c r="K61" s="6">
        <v>471</v>
      </c>
      <c r="L61" s="6">
        <v>249</v>
      </c>
      <c r="M61" s="6">
        <v>222</v>
      </c>
      <c r="N61" s="7">
        <f t="shared" si="1"/>
        <v>25.404530744336569</v>
      </c>
      <c r="O61" s="6">
        <v>1158</v>
      </c>
      <c r="P61" s="6">
        <v>696</v>
      </c>
      <c r="Q61" s="6">
        <v>462</v>
      </c>
      <c r="R61" s="7">
        <v>71.13022113022113</v>
      </c>
      <c r="S61" s="7">
        <v>79.452054794520549</v>
      </c>
      <c r="T61" s="7">
        <v>61.436170212765958</v>
      </c>
      <c r="U61" s="15">
        <f t="shared" si="2"/>
        <v>2</v>
      </c>
    </row>
    <row r="62" spans="1:21" ht="18.75" customHeight="1">
      <c r="A62" s="16">
        <v>63</v>
      </c>
      <c r="B62" s="3">
        <v>63</v>
      </c>
      <c r="C62" s="4" t="s">
        <v>80</v>
      </c>
      <c r="D62" s="9" t="s">
        <v>441</v>
      </c>
      <c r="E62" s="5" t="s">
        <v>18</v>
      </c>
      <c r="F62" s="6">
        <v>269</v>
      </c>
      <c r="G62" s="6">
        <v>1413</v>
      </c>
      <c r="H62" s="6">
        <v>729</v>
      </c>
      <c r="I62" s="6">
        <v>684</v>
      </c>
      <c r="J62" s="17">
        <f t="shared" si="0"/>
        <v>938.27160493827159</v>
      </c>
      <c r="K62" s="6">
        <v>277</v>
      </c>
      <c r="L62" s="6">
        <v>140</v>
      </c>
      <c r="M62" s="6">
        <v>137</v>
      </c>
      <c r="N62" s="7">
        <f t="shared" si="1"/>
        <v>19.603680113234255</v>
      </c>
      <c r="O62" s="6">
        <v>922</v>
      </c>
      <c r="P62" s="6">
        <v>516</v>
      </c>
      <c r="Q62" s="6">
        <v>406</v>
      </c>
      <c r="R62" s="7">
        <v>73.524720893141946</v>
      </c>
      <c r="S62" s="7">
        <v>80.373831775700936</v>
      </c>
      <c r="T62" s="7">
        <v>66.33986928104575</v>
      </c>
      <c r="U62" s="15">
        <f t="shared" si="2"/>
        <v>1</v>
      </c>
    </row>
    <row r="63" spans="1:21" ht="18.75" customHeight="1">
      <c r="A63" s="16">
        <v>64</v>
      </c>
      <c r="B63" s="3">
        <v>1</v>
      </c>
      <c r="C63" s="4" t="s">
        <v>81</v>
      </c>
      <c r="D63" s="9" t="s">
        <v>441</v>
      </c>
      <c r="E63" s="5" t="s">
        <v>82</v>
      </c>
      <c r="F63" s="6">
        <v>209</v>
      </c>
      <c r="G63" s="6">
        <v>1105</v>
      </c>
      <c r="H63" s="6">
        <v>596</v>
      </c>
      <c r="I63" s="6">
        <v>509</v>
      </c>
      <c r="J63" s="17">
        <f t="shared" si="0"/>
        <v>854.02684563758396</v>
      </c>
      <c r="K63" s="6">
        <v>403</v>
      </c>
      <c r="L63" s="6">
        <v>224</v>
      </c>
      <c r="M63" s="6">
        <v>179</v>
      </c>
      <c r="N63" s="7">
        <f t="shared" si="1"/>
        <v>36.470588235294116</v>
      </c>
      <c r="O63" s="6">
        <v>744</v>
      </c>
      <c r="P63" s="6">
        <v>451</v>
      </c>
      <c r="Q63" s="6">
        <v>293</v>
      </c>
      <c r="R63" s="7">
        <v>76.780185758513937</v>
      </c>
      <c r="S63" s="7">
        <v>86.730769230769226</v>
      </c>
      <c r="T63" s="7">
        <v>65.256124721603555</v>
      </c>
      <c r="U63" s="15">
        <f t="shared" si="2"/>
        <v>2</v>
      </c>
    </row>
    <row r="64" spans="1:21" ht="18.75" customHeight="1">
      <c r="A64" s="16">
        <v>65</v>
      </c>
      <c r="B64" s="3">
        <v>2</v>
      </c>
      <c r="C64" s="4" t="s">
        <v>83</v>
      </c>
      <c r="D64" s="9" t="s">
        <v>441</v>
      </c>
      <c r="E64" s="5" t="s">
        <v>82</v>
      </c>
      <c r="F64" s="6">
        <v>240</v>
      </c>
      <c r="G64" s="6">
        <v>1283</v>
      </c>
      <c r="H64" s="6">
        <v>699</v>
      </c>
      <c r="I64" s="6">
        <v>584</v>
      </c>
      <c r="J64" s="17">
        <f t="shared" ref="J64:J126" si="3">I64/H64*1000</f>
        <v>835.4792560801144</v>
      </c>
      <c r="K64" s="6">
        <v>281</v>
      </c>
      <c r="L64" s="6">
        <v>156</v>
      </c>
      <c r="M64" s="6">
        <v>125</v>
      </c>
      <c r="N64" s="7">
        <f t="shared" ref="N64:N126" si="4">K64/G64*100</f>
        <v>21.901792673421667</v>
      </c>
      <c r="O64" s="6">
        <v>879</v>
      </c>
      <c r="P64" s="6">
        <v>519</v>
      </c>
      <c r="Q64" s="6">
        <v>360</v>
      </c>
      <c r="R64" s="7">
        <v>77.376760563380287</v>
      </c>
      <c r="S64" s="7">
        <v>85.502471169686984</v>
      </c>
      <c r="T64" s="7">
        <v>68.052930056710764</v>
      </c>
      <c r="U64" s="15">
        <f t="shared" si="2"/>
        <v>2</v>
      </c>
    </row>
    <row r="65" spans="1:21" ht="18.75" customHeight="1">
      <c r="A65" s="16">
        <v>66</v>
      </c>
      <c r="B65" s="3">
        <v>3</v>
      </c>
      <c r="C65" s="4" t="s">
        <v>84</v>
      </c>
      <c r="D65" s="9" t="s">
        <v>441</v>
      </c>
      <c r="E65" s="5" t="s">
        <v>82</v>
      </c>
      <c r="F65" s="6">
        <v>424</v>
      </c>
      <c r="G65" s="6">
        <v>2169</v>
      </c>
      <c r="H65" s="6">
        <v>1111</v>
      </c>
      <c r="I65" s="6">
        <v>1058</v>
      </c>
      <c r="J65" s="17">
        <f t="shared" si="3"/>
        <v>952.29522952295235</v>
      </c>
      <c r="K65" s="6">
        <v>1344</v>
      </c>
      <c r="L65" s="6">
        <v>692</v>
      </c>
      <c r="M65" s="6">
        <v>652</v>
      </c>
      <c r="N65" s="7">
        <f t="shared" si="4"/>
        <v>61.964038727524205</v>
      </c>
      <c r="O65" s="6">
        <v>1415</v>
      </c>
      <c r="P65" s="6">
        <v>766</v>
      </c>
      <c r="Q65" s="6">
        <v>649</v>
      </c>
      <c r="R65" s="7">
        <v>75.2659574468085</v>
      </c>
      <c r="S65" s="7">
        <v>79.050567595459228</v>
      </c>
      <c r="T65" s="7">
        <v>71.240395170142705</v>
      </c>
      <c r="U65" s="15">
        <f t="shared" ref="U65:U127" si="5">IF($J65&gt;900,1,IF($J65&gt;800,2,IF($J65&gt;700,3,0)))</f>
        <v>1</v>
      </c>
    </row>
    <row r="66" spans="1:21" ht="18.75" customHeight="1">
      <c r="A66" s="16">
        <v>67</v>
      </c>
      <c r="B66" s="3">
        <v>4</v>
      </c>
      <c r="C66" s="4" t="s">
        <v>85</v>
      </c>
      <c r="D66" s="9" t="s">
        <v>441</v>
      </c>
      <c r="E66" s="5" t="s">
        <v>82</v>
      </c>
      <c r="F66" s="6">
        <v>620</v>
      </c>
      <c r="G66" s="6">
        <v>3249</v>
      </c>
      <c r="H66" s="6">
        <v>1690</v>
      </c>
      <c r="I66" s="6">
        <v>1559</v>
      </c>
      <c r="J66" s="17">
        <f t="shared" si="3"/>
        <v>922.48520710059165</v>
      </c>
      <c r="K66" s="6">
        <v>438</v>
      </c>
      <c r="L66" s="6">
        <v>218</v>
      </c>
      <c r="M66" s="6">
        <v>220</v>
      </c>
      <c r="N66" s="7">
        <f t="shared" si="4"/>
        <v>13.48107109879963</v>
      </c>
      <c r="O66" s="6">
        <v>2155</v>
      </c>
      <c r="P66" s="6">
        <v>1219</v>
      </c>
      <c r="Q66" s="6">
        <v>936</v>
      </c>
      <c r="R66" s="7">
        <v>75.960521677828694</v>
      </c>
      <c r="S66" s="7">
        <v>83.32194121667807</v>
      </c>
      <c r="T66" s="7">
        <v>68.122270742358083</v>
      </c>
      <c r="U66" s="15">
        <f t="shared" si="5"/>
        <v>1</v>
      </c>
    </row>
    <row r="67" spans="1:21" ht="18.75" customHeight="1">
      <c r="A67" s="16">
        <v>68</v>
      </c>
      <c r="B67" s="3">
        <v>5</v>
      </c>
      <c r="C67" s="4" t="s">
        <v>86</v>
      </c>
      <c r="D67" s="9" t="s">
        <v>441</v>
      </c>
      <c r="E67" s="5" t="s">
        <v>82</v>
      </c>
      <c r="F67" s="6">
        <v>193</v>
      </c>
      <c r="G67" s="6">
        <v>933</v>
      </c>
      <c r="H67" s="6">
        <v>486</v>
      </c>
      <c r="I67" s="6">
        <v>447</v>
      </c>
      <c r="J67" s="17">
        <f t="shared" si="3"/>
        <v>919.75308641975312</v>
      </c>
      <c r="K67" s="6">
        <v>386</v>
      </c>
      <c r="L67" s="6">
        <v>205</v>
      </c>
      <c r="M67" s="6">
        <v>181</v>
      </c>
      <c r="N67" s="7">
        <f t="shared" si="4"/>
        <v>41.371918542336552</v>
      </c>
      <c r="O67" s="6">
        <v>606</v>
      </c>
      <c r="P67" s="6">
        <v>346</v>
      </c>
      <c r="Q67" s="6">
        <v>260</v>
      </c>
      <c r="R67" s="7">
        <v>74.538745387453872</v>
      </c>
      <c r="S67" s="7">
        <v>80.652680652680658</v>
      </c>
      <c r="T67" s="7">
        <v>67.708333333333343</v>
      </c>
      <c r="U67" s="15">
        <f t="shared" si="5"/>
        <v>1</v>
      </c>
    </row>
    <row r="68" spans="1:21" ht="18.75" customHeight="1">
      <c r="A68" s="16">
        <v>69</v>
      </c>
      <c r="B68" s="3">
        <v>6</v>
      </c>
      <c r="C68" s="4" t="s">
        <v>87</v>
      </c>
      <c r="D68" s="9" t="s">
        <v>441</v>
      </c>
      <c r="E68" s="5" t="s">
        <v>82</v>
      </c>
      <c r="F68" s="6">
        <v>268</v>
      </c>
      <c r="G68" s="6">
        <v>1372</v>
      </c>
      <c r="H68" s="6">
        <v>736</v>
      </c>
      <c r="I68" s="6">
        <v>636</v>
      </c>
      <c r="J68" s="17">
        <f t="shared" si="3"/>
        <v>864.13043478260863</v>
      </c>
      <c r="K68" s="6">
        <v>347</v>
      </c>
      <c r="L68" s="6">
        <v>180</v>
      </c>
      <c r="M68" s="6">
        <v>167</v>
      </c>
      <c r="N68" s="7">
        <f t="shared" si="4"/>
        <v>25.291545189504372</v>
      </c>
      <c r="O68" s="6">
        <v>858</v>
      </c>
      <c r="P68" s="6">
        <v>504</v>
      </c>
      <c r="Q68" s="6">
        <v>354</v>
      </c>
      <c r="R68" s="7">
        <v>70.909090909090907</v>
      </c>
      <c r="S68" s="7">
        <v>78.873239436619713</v>
      </c>
      <c r="T68" s="7">
        <v>61.996497373029769</v>
      </c>
      <c r="U68" s="15">
        <f t="shared" si="5"/>
        <v>2</v>
      </c>
    </row>
    <row r="69" spans="1:21" ht="18.75" customHeight="1">
      <c r="A69" s="16">
        <v>70</v>
      </c>
      <c r="B69" s="3">
        <v>7</v>
      </c>
      <c r="C69" s="4" t="s">
        <v>88</v>
      </c>
      <c r="D69" s="9" t="s">
        <v>441</v>
      </c>
      <c r="E69" s="5" t="s">
        <v>82</v>
      </c>
      <c r="F69" s="6">
        <v>271</v>
      </c>
      <c r="G69" s="6">
        <v>1350</v>
      </c>
      <c r="H69" s="6">
        <v>711</v>
      </c>
      <c r="I69" s="6">
        <v>639</v>
      </c>
      <c r="J69" s="17">
        <f t="shared" si="3"/>
        <v>898.7341772151899</v>
      </c>
      <c r="K69" s="6">
        <v>321</v>
      </c>
      <c r="L69" s="6">
        <v>167</v>
      </c>
      <c r="M69" s="6">
        <v>154</v>
      </c>
      <c r="N69" s="7">
        <f t="shared" si="4"/>
        <v>23.777777777777779</v>
      </c>
      <c r="O69" s="6">
        <v>905</v>
      </c>
      <c r="P69" s="6">
        <v>542</v>
      </c>
      <c r="Q69" s="6">
        <v>363</v>
      </c>
      <c r="R69" s="7">
        <v>75.041459369817574</v>
      </c>
      <c r="S69" s="7">
        <v>85.354330708661422</v>
      </c>
      <c r="T69" s="7">
        <v>63.572679509632223</v>
      </c>
      <c r="U69" s="15">
        <f t="shared" si="5"/>
        <v>2</v>
      </c>
    </row>
    <row r="70" spans="1:21" ht="18.75" customHeight="1">
      <c r="A70" s="16">
        <v>71</v>
      </c>
      <c r="B70" s="3">
        <v>8</v>
      </c>
      <c r="C70" s="4" t="s">
        <v>89</v>
      </c>
      <c r="D70" s="9" t="s">
        <v>441</v>
      </c>
      <c r="E70" s="5" t="s">
        <v>82</v>
      </c>
      <c r="F70" s="6">
        <v>126</v>
      </c>
      <c r="G70" s="6">
        <v>685</v>
      </c>
      <c r="H70" s="6">
        <v>353</v>
      </c>
      <c r="I70" s="6">
        <v>332</v>
      </c>
      <c r="J70" s="17">
        <f t="shared" si="3"/>
        <v>940.50991501416422</v>
      </c>
      <c r="K70" s="6">
        <v>103</v>
      </c>
      <c r="L70" s="6">
        <v>51</v>
      </c>
      <c r="M70" s="6">
        <v>52</v>
      </c>
      <c r="N70" s="7">
        <f t="shared" si="4"/>
        <v>15.036496350364963</v>
      </c>
      <c r="O70" s="6">
        <v>476</v>
      </c>
      <c r="P70" s="6">
        <v>269</v>
      </c>
      <c r="Q70" s="6">
        <v>207</v>
      </c>
      <c r="R70" s="7">
        <v>78.418451400329488</v>
      </c>
      <c r="S70" s="7">
        <v>85.396825396825392</v>
      </c>
      <c r="T70" s="7">
        <v>70.890410958904098</v>
      </c>
      <c r="U70" s="15">
        <f t="shared" si="5"/>
        <v>1</v>
      </c>
    </row>
    <row r="71" spans="1:21" ht="18.75" customHeight="1">
      <c r="A71" s="16">
        <v>72</v>
      </c>
      <c r="B71" s="3">
        <v>9</v>
      </c>
      <c r="C71" s="4" t="s">
        <v>90</v>
      </c>
      <c r="D71" s="9" t="s">
        <v>441</v>
      </c>
      <c r="E71" s="5" t="s">
        <v>82</v>
      </c>
      <c r="F71" s="6">
        <v>406</v>
      </c>
      <c r="G71" s="6">
        <v>2096</v>
      </c>
      <c r="H71" s="6">
        <v>1096</v>
      </c>
      <c r="I71" s="6">
        <v>1000</v>
      </c>
      <c r="J71" s="17">
        <f t="shared" si="3"/>
        <v>912.40875912408762</v>
      </c>
      <c r="K71" s="6">
        <v>169</v>
      </c>
      <c r="L71" s="6">
        <v>77</v>
      </c>
      <c r="M71" s="6">
        <v>92</v>
      </c>
      <c r="N71" s="7">
        <f t="shared" si="4"/>
        <v>8.0629770992366421</v>
      </c>
      <c r="O71" s="6">
        <v>1239</v>
      </c>
      <c r="P71" s="6">
        <v>705</v>
      </c>
      <c r="Q71" s="6">
        <v>534</v>
      </c>
      <c r="R71" s="7">
        <v>67.81609195402298</v>
      </c>
      <c r="S71" s="7">
        <v>73.4375</v>
      </c>
      <c r="T71" s="7">
        <v>61.591695501730101</v>
      </c>
      <c r="U71" s="15">
        <f t="shared" si="5"/>
        <v>1</v>
      </c>
    </row>
    <row r="72" spans="1:21" ht="18.75" customHeight="1">
      <c r="A72" s="16">
        <v>73</v>
      </c>
      <c r="B72" s="3">
        <v>10</v>
      </c>
      <c r="C72" s="4" t="s">
        <v>91</v>
      </c>
      <c r="D72" s="9" t="s">
        <v>441</v>
      </c>
      <c r="E72" s="5" t="s">
        <v>82</v>
      </c>
      <c r="F72" s="6">
        <v>560</v>
      </c>
      <c r="G72" s="6">
        <v>2806</v>
      </c>
      <c r="H72" s="6">
        <v>1501</v>
      </c>
      <c r="I72" s="6">
        <v>1305</v>
      </c>
      <c r="J72" s="17">
        <f t="shared" si="3"/>
        <v>869.4203864090606</v>
      </c>
      <c r="K72" s="6">
        <v>932</v>
      </c>
      <c r="L72" s="6">
        <v>483</v>
      </c>
      <c r="M72" s="6">
        <v>449</v>
      </c>
      <c r="N72" s="7">
        <f t="shared" si="4"/>
        <v>33.214540270848183</v>
      </c>
      <c r="O72" s="6">
        <v>1863</v>
      </c>
      <c r="P72" s="6">
        <v>1081</v>
      </c>
      <c r="Q72" s="6">
        <v>782</v>
      </c>
      <c r="R72" s="7">
        <v>75.578093306288025</v>
      </c>
      <c r="S72" s="7">
        <v>82.393292682926827</v>
      </c>
      <c r="T72" s="7">
        <v>67.823070251517777</v>
      </c>
      <c r="U72" s="15">
        <f t="shared" si="5"/>
        <v>2</v>
      </c>
    </row>
    <row r="73" spans="1:21" ht="18.75" customHeight="1">
      <c r="A73" s="16">
        <v>74</v>
      </c>
      <c r="B73" s="3">
        <v>11</v>
      </c>
      <c r="C73" s="4" t="s">
        <v>92</v>
      </c>
      <c r="D73" s="9" t="s">
        <v>441</v>
      </c>
      <c r="E73" s="5" t="s">
        <v>82</v>
      </c>
      <c r="F73" s="6">
        <v>280</v>
      </c>
      <c r="G73" s="6">
        <v>1256</v>
      </c>
      <c r="H73" s="6">
        <v>693</v>
      </c>
      <c r="I73" s="6">
        <v>563</v>
      </c>
      <c r="J73" s="17">
        <f t="shared" si="3"/>
        <v>812.40981240981239</v>
      </c>
      <c r="K73" s="6">
        <v>458</v>
      </c>
      <c r="L73" s="6">
        <v>243</v>
      </c>
      <c r="M73" s="6">
        <v>215</v>
      </c>
      <c r="N73" s="7">
        <f t="shared" si="4"/>
        <v>36.464968152866241</v>
      </c>
      <c r="O73" s="6">
        <v>760</v>
      </c>
      <c r="P73" s="6">
        <v>456</v>
      </c>
      <c r="Q73" s="6">
        <v>304</v>
      </c>
      <c r="R73" s="7">
        <v>70.370370370370367</v>
      </c>
      <c r="S73" s="7">
        <v>76.638655462184886</v>
      </c>
      <c r="T73" s="7">
        <v>62.680412371134018</v>
      </c>
      <c r="U73" s="15">
        <f t="shared" si="5"/>
        <v>2</v>
      </c>
    </row>
    <row r="74" spans="1:21" ht="18.75" customHeight="1">
      <c r="A74" s="16">
        <v>75</v>
      </c>
      <c r="B74" s="3">
        <v>12</v>
      </c>
      <c r="C74" s="4" t="s">
        <v>93</v>
      </c>
      <c r="D74" s="9" t="s">
        <v>441</v>
      </c>
      <c r="E74" s="5" t="s">
        <v>82</v>
      </c>
      <c r="F74" s="6">
        <v>134</v>
      </c>
      <c r="G74" s="6">
        <v>644</v>
      </c>
      <c r="H74" s="6">
        <v>336</v>
      </c>
      <c r="I74" s="6">
        <v>308</v>
      </c>
      <c r="J74" s="17">
        <f t="shared" si="3"/>
        <v>916.66666666666663</v>
      </c>
      <c r="K74" s="6">
        <v>224</v>
      </c>
      <c r="L74" s="6">
        <v>115</v>
      </c>
      <c r="M74" s="6">
        <v>109</v>
      </c>
      <c r="N74" s="7">
        <f t="shared" si="4"/>
        <v>34.782608695652172</v>
      </c>
      <c r="O74" s="6">
        <v>450</v>
      </c>
      <c r="P74" s="6">
        <v>259</v>
      </c>
      <c r="Q74" s="6">
        <v>191</v>
      </c>
      <c r="R74" s="7">
        <v>78.397212543554005</v>
      </c>
      <c r="S74" s="7">
        <v>88.698630136986296</v>
      </c>
      <c r="T74" s="7">
        <v>67.730496453900713</v>
      </c>
      <c r="U74" s="15">
        <f t="shared" si="5"/>
        <v>1</v>
      </c>
    </row>
    <row r="75" spans="1:21" ht="18.75" customHeight="1">
      <c r="A75" s="16">
        <v>76</v>
      </c>
      <c r="B75" s="3">
        <v>13</v>
      </c>
      <c r="C75" s="4" t="s">
        <v>94</v>
      </c>
      <c r="D75" s="9" t="s">
        <v>441</v>
      </c>
      <c r="E75" s="5" t="s">
        <v>82</v>
      </c>
      <c r="F75" s="6">
        <v>187</v>
      </c>
      <c r="G75" s="6">
        <v>1037</v>
      </c>
      <c r="H75" s="6">
        <v>546</v>
      </c>
      <c r="I75" s="6">
        <v>491</v>
      </c>
      <c r="J75" s="17">
        <f t="shared" si="3"/>
        <v>899.26739926739924</v>
      </c>
      <c r="K75" s="6">
        <v>89</v>
      </c>
      <c r="L75" s="6">
        <v>51</v>
      </c>
      <c r="M75" s="6">
        <v>38</v>
      </c>
      <c r="N75" s="7">
        <f t="shared" si="4"/>
        <v>8.5824493731918992</v>
      </c>
      <c r="O75" s="6">
        <v>692</v>
      </c>
      <c r="P75" s="6">
        <v>400</v>
      </c>
      <c r="Q75" s="6">
        <v>292</v>
      </c>
      <c r="R75" s="7">
        <v>75.62841530054645</v>
      </c>
      <c r="S75" s="7">
        <v>83.333333333333343</v>
      </c>
      <c r="T75" s="7">
        <v>67.1264367816092</v>
      </c>
      <c r="U75" s="15">
        <f t="shared" si="5"/>
        <v>2</v>
      </c>
    </row>
    <row r="76" spans="1:21" ht="18.75" customHeight="1">
      <c r="A76" s="16">
        <v>77</v>
      </c>
      <c r="B76" s="3">
        <v>14</v>
      </c>
      <c r="C76" s="4" t="s">
        <v>95</v>
      </c>
      <c r="D76" s="9" t="s">
        <v>441</v>
      </c>
      <c r="E76" s="5" t="s">
        <v>82</v>
      </c>
      <c r="F76" s="6">
        <v>205</v>
      </c>
      <c r="G76" s="6">
        <v>1176</v>
      </c>
      <c r="H76" s="6">
        <v>634</v>
      </c>
      <c r="I76" s="6">
        <v>542</v>
      </c>
      <c r="J76" s="17">
        <f t="shared" si="3"/>
        <v>854.88958990536275</v>
      </c>
      <c r="K76" s="6">
        <v>161</v>
      </c>
      <c r="L76" s="6">
        <v>84</v>
      </c>
      <c r="M76" s="6">
        <v>77</v>
      </c>
      <c r="N76" s="7">
        <f t="shared" si="4"/>
        <v>13.690476190476192</v>
      </c>
      <c r="O76" s="6">
        <v>849</v>
      </c>
      <c r="P76" s="6">
        <v>507</v>
      </c>
      <c r="Q76" s="6">
        <v>342</v>
      </c>
      <c r="R76" s="7">
        <v>80.934223069590089</v>
      </c>
      <c r="S76" s="7">
        <v>90.213523131672602</v>
      </c>
      <c r="T76" s="7">
        <v>70.225872689938399</v>
      </c>
      <c r="U76" s="15">
        <f t="shared" si="5"/>
        <v>2</v>
      </c>
    </row>
    <row r="77" spans="1:21" ht="18.75" customHeight="1">
      <c r="A77" s="16">
        <v>78</v>
      </c>
      <c r="B77" s="3">
        <v>15</v>
      </c>
      <c r="C77" s="4" t="s">
        <v>96</v>
      </c>
      <c r="D77" s="9" t="s">
        <v>441</v>
      </c>
      <c r="E77" s="5" t="s">
        <v>82</v>
      </c>
      <c r="F77" s="6">
        <v>178</v>
      </c>
      <c r="G77" s="6">
        <v>946</v>
      </c>
      <c r="H77" s="6">
        <v>497</v>
      </c>
      <c r="I77" s="6">
        <v>449</v>
      </c>
      <c r="J77" s="17">
        <f t="shared" si="3"/>
        <v>903.420523138833</v>
      </c>
      <c r="K77" s="6">
        <v>476</v>
      </c>
      <c r="L77" s="6">
        <v>255</v>
      </c>
      <c r="M77" s="6">
        <v>221</v>
      </c>
      <c r="N77" s="7">
        <f t="shared" si="4"/>
        <v>50.317124735729394</v>
      </c>
      <c r="O77" s="6">
        <v>658</v>
      </c>
      <c r="P77" s="6">
        <v>385</v>
      </c>
      <c r="Q77" s="6">
        <v>273</v>
      </c>
      <c r="R77" s="7">
        <v>78.614097968936676</v>
      </c>
      <c r="S77" s="7">
        <v>88.914549653579684</v>
      </c>
      <c r="T77" s="7">
        <v>67.574257425742573</v>
      </c>
      <c r="U77" s="15">
        <f t="shared" si="5"/>
        <v>1</v>
      </c>
    </row>
    <row r="78" spans="1:21" ht="18.75" customHeight="1">
      <c r="A78" s="16">
        <v>79</v>
      </c>
      <c r="B78" s="3">
        <v>16</v>
      </c>
      <c r="C78" s="4" t="s">
        <v>97</v>
      </c>
      <c r="D78" s="9" t="s">
        <v>441</v>
      </c>
      <c r="E78" s="5" t="s">
        <v>82</v>
      </c>
      <c r="F78" s="6">
        <v>336</v>
      </c>
      <c r="G78" s="6">
        <v>1869</v>
      </c>
      <c r="H78" s="6">
        <v>971</v>
      </c>
      <c r="I78" s="6">
        <v>898</v>
      </c>
      <c r="J78" s="17">
        <f t="shared" si="3"/>
        <v>924.81977342945424</v>
      </c>
      <c r="K78" s="6">
        <v>484</v>
      </c>
      <c r="L78" s="6">
        <v>249</v>
      </c>
      <c r="M78" s="6">
        <v>235</v>
      </c>
      <c r="N78" s="7">
        <f t="shared" si="4"/>
        <v>25.896201177100053</v>
      </c>
      <c r="O78" s="6">
        <v>1269</v>
      </c>
      <c r="P78" s="6">
        <v>731</v>
      </c>
      <c r="Q78" s="6">
        <v>538</v>
      </c>
      <c r="R78" s="7">
        <v>77.472527472527474</v>
      </c>
      <c r="S78" s="7">
        <v>86.202830188679243</v>
      </c>
      <c r="T78" s="7">
        <v>68.101265822784811</v>
      </c>
      <c r="U78" s="15">
        <f t="shared" si="5"/>
        <v>1</v>
      </c>
    </row>
    <row r="79" spans="1:21" ht="18.75" customHeight="1">
      <c r="A79" s="16">
        <v>80</v>
      </c>
      <c r="B79" s="3">
        <v>17</v>
      </c>
      <c r="C79" s="4" t="s">
        <v>98</v>
      </c>
      <c r="D79" s="9" t="s">
        <v>441</v>
      </c>
      <c r="E79" s="5" t="s">
        <v>82</v>
      </c>
      <c r="F79" s="6">
        <v>260</v>
      </c>
      <c r="G79" s="6">
        <v>1274</v>
      </c>
      <c r="H79" s="6">
        <v>664</v>
      </c>
      <c r="I79" s="6">
        <v>610</v>
      </c>
      <c r="J79" s="17">
        <f t="shared" si="3"/>
        <v>918.67469879518069</v>
      </c>
      <c r="K79" s="6">
        <v>841</v>
      </c>
      <c r="L79" s="6">
        <v>429</v>
      </c>
      <c r="M79" s="6">
        <v>412</v>
      </c>
      <c r="N79" s="7">
        <f t="shared" si="4"/>
        <v>66.012558869701735</v>
      </c>
      <c r="O79" s="6">
        <v>788</v>
      </c>
      <c r="P79" s="6">
        <v>440</v>
      </c>
      <c r="Q79" s="6">
        <v>348</v>
      </c>
      <c r="R79" s="7">
        <v>71.441523118767009</v>
      </c>
      <c r="S79" s="7">
        <v>78.01418439716312</v>
      </c>
      <c r="T79" s="7">
        <v>64.564007421150279</v>
      </c>
      <c r="U79" s="15">
        <f t="shared" si="5"/>
        <v>1</v>
      </c>
    </row>
    <row r="80" spans="1:21" ht="18.75" customHeight="1">
      <c r="A80" s="16">
        <v>81</v>
      </c>
      <c r="B80" s="3">
        <v>18</v>
      </c>
      <c r="C80" s="4" t="s">
        <v>99</v>
      </c>
      <c r="D80" s="9" t="s">
        <v>441</v>
      </c>
      <c r="E80" s="5" t="s">
        <v>82</v>
      </c>
      <c r="F80" s="6">
        <v>393</v>
      </c>
      <c r="G80" s="6">
        <v>1904</v>
      </c>
      <c r="H80" s="6">
        <v>1026</v>
      </c>
      <c r="I80" s="6">
        <v>878</v>
      </c>
      <c r="J80" s="17">
        <f t="shared" si="3"/>
        <v>855.75048732943469</v>
      </c>
      <c r="K80" s="6">
        <v>538</v>
      </c>
      <c r="L80" s="6">
        <v>291</v>
      </c>
      <c r="M80" s="6">
        <v>247</v>
      </c>
      <c r="N80" s="7">
        <f t="shared" si="4"/>
        <v>28.256302521008404</v>
      </c>
      <c r="O80" s="6">
        <v>1198</v>
      </c>
      <c r="P80" s="6">
        <v>694</v>
      </c>
      <c r="Q80" s="6">
        <v>504</v>
      </c>
      <c r="R80" s="7">
        <v>71.865626874625079</v>
      </c>
      <c r="S80" s="7">
        <v>78.329571106094804</v>
      </c>
      <c r="T80" s="7">
        <v>64.5326504481434</v>
      </c>
      <c r="U80" s="15">
        <f t="shared" si="5"/>
        <v>2</v>
      </c>
    </row>
    <row r="81" spans="1:21" ht="18.75" customHeight="1">
      <c r="A81" s="16">
        <v>82</v>
      </c>
      <c r="B81" s="3">
        <v>19</v>
      </c>
      <c r="C81" s="4" t="s">
        <v>100</v>
      </c>
      <c r="D81" s="9" t="s">
        <v>441</v>
      </c>
      <c r="E81" s="5" t="s">
        <v>82</v>
      </c>
      <c r="F81" s="6">
        <v>337</v>
      </c>
      <c r="G81" s="6">
        <v>1775</v>
      </c>
      <c r="H81" s="6">
        <v>944</v>
      </c>
      <c r="I81" s="6">
        <v>831</v>
      </c>
      <c r="J81" s="17">
        <f t="shared" si="3"/>
        <v>880.2966101694916</v>
      </c>
      <c r="K81" s="6">
        <v>522</v>
      </c>
      <c r="L81" s="6">
        <v>278</v>
      </c>
      <c r="M81" s="6">
        <v>244</v>
      </c>
      <c r="N81" s="7">
        <f t="shared" si="4"/>
        <v>29.408450704225352</v>
      </c>
      <c r="O81" s="6">
        <v>1239</v>
      </c>
      <c r="P81" s="6">
        <v>730</v>
      </c>
      <c r="Q81" s="6">
        <v>509</v>
      </c>
      <c r="R81" s="7">
        <v>79.321382842509607</v>
      </c>
      <c r="S81" s="7">
        <v>88.484848484848484</v>
      </c>
      <c r="T81" s="7">
        <v>69.063772048846673</v>
      </c>
      <c r="U81" s="15">
        <f t="shared" si="5"/>
        <v>2</v>
      </c>
    </row>
    <row r="82" spans="1:21" ht="18.75" customHeight="1">
      <c r="A82" s="16">
        <v>83</v>
      </c>
      <c r="B82" s="3">
        <v>20</v>
      </c>
      <c r="C82" s="4" t="s">
        <v>101</v>
      </c>
      <c r="D82" s="9" t="s">
        <v>441</v>
      </c>
      <c r="E82" s="5" t="s">
        <v>82</v>
      </c>
      <c r="F82" s="6">
        <v>59</v>
      </c>
      <c r="G82" s="6">
        <v>299</v>
      </c>
      <c r="H82" s="6">
        <v>155</v>
      </c>
      <c r="I82" s="6">
        <v>144</v>
      </c>
      <c r="J82" s="17">
        <f t="shared" si="3"/>
        <v>929.03225806451621</v>
      </c>
      <c r="K82" s="6">
        <v>60</v>
      </c>
      <c r="L82" s="6">
        <v>33</v>
      </c>
      <c r="M82" s="6">
        <v>27</v>
      </c>
      <c r="N82" s="7">
        <f t="shared" si="4"/>
        <v>20.066889632107024</v>
      </c>
      <c r="O82" s="6">
        <v>234</v>
      </c>
      <c r="P82" s="6">
        <v>133</v>
      </c>
      <c r="Q82" s="6">
        <v>101</v>
      </c>
      <c r="R82" s="7">
        <v>88.973384030418245</v>
      </c>
      <c r="S82" s="7">
        <v>97.080291970802918</v>
      </c>
      <c r="T82" s="7">
        <v>80.158730158730165</v>
      </c>
      <c r="U82" s="15">
        <f t="shared" si="5"/>
        <v>1</v>
      </c>
    </row>
    <row r="83" spans="1:21" ht="18.75" customHeight="1">
      <c r="A83" s="16">
        <v>84</v>
      </c>
      <c r="B83" s="3">
        <v>21</v>
      </c>
      <c r="C83" s="4" t="s">
        <v>102</v>
      </c>
      <c r="D83" s="9" t="s">
        <v>441</v>
      </c>
      <c r="E83" s="5" t="s">
        <v>82</v>
      </c>
      <c r="F83" s="6">
        <v>142</v>
      </c>
      <c r="G83" s="6">
        <v>749</v>
      </c>
      <c r="H83" s="6">
        <v>395</v>
      </c>
      <c r="I83" s="6">
        <v>354</v>
      </c>
      <c r="J83" s="17">
        <f t="shared" si="3"/>
        <v>896.20253164556959</v>
      </c>
      <c r="K83" s="6">
        <v>239</v>
      </c>
      <c r="L83" s="6">
        <v>132</v>
      </c>
      <c r="M83" s="6">
        <v>107</v>
      </c>
      <c r="N83" s="7">
        <f t="shared" si="4"/>
        <v>31.909212283044059</v>
      </c>
      <c r="O83" s="6">
        <v>515</v>
      </c>
      <c r="P83" s="6">
        <v>299</v>
      </c>
      <c r="Q83" s="6">
        <v>216</v>
      </c>
      <c r="R83" s="7">
        <v>77.677224736048274</v>
      </c>
      <c r="S83" s="7">
        <v>86.1671469740634</v>
      </c>
      <c r="T83" s="7">
        <v>68.35443037974683</v>
      </c>
      <c r="U83" s="15">
        <f t="shared" si="5"/>
        <v>2</v>
      </c>
    </row>
    <row r="84" spans="1:21" ht="18.75" customHeight="1">
      <c r="A84" s="16">
        <v>85</v>
      </c>
      <c r="B84" s="3">
        <v>22</v>
      </c>
      <c r="C84" s="4" t="s">
        <v>103</v>
      </c>
      <c r="D84" s="9" t="s">
        <v>441</v>
      </c>
      <c r="E84" s="5" t="s">
        <v>82</v>
      </c>
      <c r="F84" s="6">
        <v>443</v>
      </c>
      <c r="G84" s="6">
        <v>2396</v>
      </c>
      <c r="H84" s="6">
        <v>1279</v>
      </c>
      <c r="I84" s="6">
        <v>1117</v>
      </c>
      <c r="J84" s="17">
        <f t="shared" si="3"/>
        <v>873.33854573885844</v>
      </c>
      <c r="K84" s="6">
        <v>399</v>
      </c>
      <c r="L84" s="6">
        <v>223</v>
      </c>
      <c r="M84" s="6">
        <v>176</v>
      </c>
      <c r="N84" s="7">
        <f t="shared" si="4"/>
        <v>16.652754590984976</v>
      </c>
      <c r="O84" s="6">
        <v>1583</v>
      </c>
      <c r="P84" s="6">
        <v>914</v>
      </c>
      <c r="Q84" s="6">
        <v>669</v>
      </c>
      <c r="R84" s="7">
        <v>75.38095238095238</v>
      </c>
      <c r="S84" s="7">
        <v>82.714932126696823</v>
      </c>
      <c r="T84" s="7">
        <v>67.236180904522612</v>
      </c>
      <c r="U84" s="15">
        <f t="shared" si="5"/>
        <v>2</v>
      </c>
    </row>
    <row r="85" spans="1:21" ht="18.75" customHeight="1">
      <c r="A85" s="16">
        <v>86</v>
      </c>
      <c r="B85" s="3">
        <v>23</v>
      </c>
      <c r="C85" s="4" t="s">
        <v>104</v>
      </c>
      <c r="D85" s="9" t="s">
        <v>441</v>
      </c>
      <c r="E85" s="5" t="s">
        <v>82</v>
      </c>
      <c r="F85" s="6">
        <v>10</v>
      </c>
      <c r="G85" s="6">
        <v>86</v>
      </c>
      <c r="H85" s="6">
        <v>47</v>
      </c>
      <c r="I85" s="6">
        <v>39</v>
      </c>
      <c r="J85" s="17">
        <f t="shared" si="3"/>
        <v>829.78723404255322</v>
      </c>
      <c r="K85" s="6">
        <v>0</v>
      </c>
      <c r="L85" s="6">
        <v>0</v>
      </c>
      <c r="M85" s="6">
        <v>0</v>
      </c>
      <c r="N85" s="7">
        <f t="shared" si="4"/>
        <v>0</v>
      </c>
      <c r="O85" s="6">
        <v>61</v>
      </c>
      <c r="P85" s="6">
        <v>32</v>
      </c>
      <c r="Q85" s="6">
        <v>29</v>
      </c>
      <c r="R85" s="7">
        <v>81.333333333333329</v>
      </c>
      <c r="S85" s="7">
        <v>82.051282051282044</v>
      </c>
      <c r="T85" s="7">
        <v>80.555555555555557</v>
      </c>
      <c r="U85" s="15">
        <f t="shared" si="5"/>
        <v>2</v>
      </c>
    </row>
    <row r="86" spans="1:21" ht="18.75" customHeight="1">
      <c r="A86" s="16">
        <v>87</v>
      </c>
      <c r="B86" s="3">
        <v>24</v>
      </c>
      <c r="C86" s="4" t="s">
        <v>105</v>
      </c>
      <c r="D86" s="9" t="s">
        <v>441</v>
      </c>
      <c r="E86" s="5" t="s">
        <v>82</v>
      </c>
      <c r="F86" s="6">
        <v>283</v>
      </c>
      <c r="G86" s="6">
        <v>1537</v>
      </c>
      <c r="H86" s="6">
        <v>784</v>
      </c>
      <c r="I86" s="6">
        <v>753</v>
      </c>
      <c r="J86" s="17">
        <f t="shared" si="3"/>
        <v>960.4591836734694</v>
      </c>
      <c r="K86" s="6">
        <v>213</v>
      </c>
      <c r="L86" s="6">
        <v>111</v>
      </c>
      <c r="M86" s="6">
        <v>102</v>
      </c>
      <c r="N86" s="7">
        <f t="shared" si="4"/>
        <v>13.858165256994145</v>
      </c>
      <c r="O86" s="6">
        <v>1049</v>
      </c>
      <c r="P86" s="6">
        <v>596</v>
      </c>
      <c r="Q86" s="6">
        <v>453</v>
      </c>
      <c r="R86" s="7">
        <v>76.962582538517978</v>
      </c>
      <c r="S86" s="7">
        <v>86.127167630057798</v>
      </c>
      <c r="T86" s="7">
        <v>67.511177347242921</v>
      </c>
      <c r="U86" s="15">
        <f t="shared" si="5"/>
        <v>1</v>
      </c>
    </row>
    <row r="87" spans="1:21" ht="18.75" customHeight="1">
      <c r="A87" s="16">
        <v>88</v>
      </c>
      <c r="B87" s="3">
        <v>25</v>
      </c>
      <c r="C87" s="4" t="s">
        <v>106</v>
      </c>
      <c r="D87" s="9" t="s">
        <v>441</v>
      </c>
      <c r="E87" s="5" t="s">
        <v>82</v>
      </c>
      <c r="F87" s="6">
        <v>224</v>
      </c>
      <c r="G87" s="6">
        <v>1204</v>
      </c>
      <c r="H87" s="6">
        <v>644</v>
      </c>
      <c r="I87" s="6">
        <v>560</v>
      </c>
      <c r="J87" s="17">
        <f t="shared" si="3"/>
        <v>869.56521739130437</v>
      </c>
      <c r="K87" s="6">
        <v>336</v>
      </c>
      <c r="L87" s="6">
        <v>175</v>
      </c>
      <c r="M87" s="6">
        <v>161</v>
      </c>
      <c r="N87" s="7">
        <f t="shared" si="4"/>
        <v>27.906976744186046</v>
      </c>
      <c r="O87" s="6">
        <v>870</v>
      </c>
      <c r="P87" s="6">
        <v>514</v>
      </c>
      <c r="Q87" s="6">
        <v>356</v>
      </c>
      <c r="R87" s="7">
        <v>82.542694497153704</v>
      </c>
      <c r="S87" s="7">
        <v>91.296625222024858</v>
      </c>
      <c r="T87" s="7">
        <v>72.505091649694492</v>
      </c>
      <c r="U87" s="15">
        <f t="shared" si="5"/>
        <v>2</v>
      </c>
    </row>
    <row r="88" spans="1:21" ht="18.75" customHeight="1">
      <c r="A88" s="16">
        <v>89</v>
      </c>
      <c r="B88" s="3">
        <v>26</v>
      </c>
      <c r="C88" s="4" t="s">
        <v>107</v>
      </c>
      <c r="D88" s="9" t="s">
        <v>441</v>
      </c>
      <c r="E88" s="5" t="s">
        <v>82</v>
      </c>
      <c r="F88" s="6">
        <v>58</v>
      </c>
      <c r="G88" s="6">
        <v>274</v>
      </c>
      <c r="H88" s="6">
        <v>141</v>
      </c>
      <c r="I88" s="6">
        <v>133</v>
      </c>
      <c r="J88" s="17">
        <f t="shared" si="3"/>
        <v>943.26241134751774</v>
      </c>
      <c r="K88" s="6">
        <v>164</v>
      </c>
      <c r="L88" s="6">
        <v>85</v>
      </c>
      <c r="M88" s="6">
        <v>79</v>
      </c>
      <c r="N88" s="7">
        <f t="shared" si="4"/>
        <v>59.854014598540154</v>
      </c>
      <c r="O88" s="6">
        <v>155</v>
      </c>
      <c r="P88" s="6">
        <v>88</v>
      </c>
      <c r="Q88" s="6">
        <v>67</v>
      </c>
      <c r="R88" s="7">
        <v>66.523605150214593</v>
      </c>
      <c r="S88" s="7">
        <v>72.727272727272734</v>
      </c>
      <c r="T88" s="7">
        <v>59.821428571428569</v>
      </c>
      <c r="U88" s="15">
        <f t="shared" si="5"/>
        <v>1</v>
      </c>
    </row>
    <row r="89" spans="1:21" ht="18.75" customHeight="1">
      <c r="A89" s="16">
        <v>91</v>
      </c>
      <c r="B89" s="3">
        <v>28</v>
      </c>
      <c r="C89" s="4" t="s">
        <v>109</v>
      </c>
      <c r="D89" s="9" t="s">
        <v>441</v>
      </c>
      <c r="E89" s="5" t="s">
        <v>82</v>
      </c>
      <c r="F89" s="6">
        <v>222</v>
      </c>
      <c r="G89" s="6">
        <v>1178</v>
      </c>
      <c r="H89" s="6">
        <v>632</v>
      </c>
      <c r="I89" s="6">
        <v>546</v>
      </c>
      <c r="J89" s="17">
        <f t="shared" si="3"/>
        <v>863.92405063291142</v>
      </c>
      <c r="K89" s="6">
        <v>227</v>
      </c>
      <c r="L89" s="6">
        <v>117</v>
      </c>
      <c r="M89" s="6">
        <v>110</v>
      </c>
      <c r="N89" s="7">
        <f t="shared" si="4"/>
        <v>19.269949066213922</v>
      </c>
      <c r="O89" s="6">
        <v>810</v>
      </c>
      <c r="P89" s="6">
        <v>480</v>
      </c>
      <c r="Q89" s="6">
        <v>330</v>
      </c>
      <c r="R89" s="7">
        <v>77.069457659372034</v>
      </c>
      <c r="S89" s="7">
        <v>86.642599277978334</v>
      </c>
      <c r="T89" s="7">
        <v>66.398390342052309</v>
      </c>
      <c r="U89" s="15">
        <f t="shared" si="5"/>
        <v>2</v>
      </c>
    </row>
    <row r="90" spans="1:21" ht="18.75" customHeight="1">
      <c r="A90" s="16">
        <v>92</v>
      </c>
      <c r="B90" s="3">
        <v>29</v>
      </c>
      <c r="C90" s="4" t="s">
        <v>110</v>
      </c>
      <c r="D90" s="9" t="s">
        <v>441</v>
      </c>
      <c r="E90" s="5" t="s">
        <v>82</v>
      </c>
      <c r="F90" s="6">
        <v>121</v>
      </c>
      <c r="G90" s="6">
        <v>595</v>
      </c>
      <c r="H90" s="6">
        <v>312</v>
      </c>
      <c r="I90" s="6">
        <v>283</v>
      </c>
      <c r="J90" s="17">
        <f t="shared" si="3"/>
        <v>907.0512820512821</v>
      </c>
      <c r="K90" s="6">
        <v>111</v>
      </c>
      <c r="L90" s="6">
        <v>57</v>
      </c>
      <c r="M90" s="6">
        <v>54</v>
      </c>
      <c r="N90" s="7">
        <f t="shared" si="4"/>
        <v>18.655462184873951</v>
      </c>
      <c r="O90" s="6">
        <v>448</v>
      </c>
      <c r="P90" s="6">
        <v>257</v>
      </c>
      <c r="Q90" s="6">
        <v>191</v>
      </c>
      <c r="R90" s="7">
        <v>83.582089552238799</v>
      </c>
      <c r="S90" s="7">
        <v>91.785714285714278</v>
      </c>
      <c r="T90" s="7">
        <v>74.609375</v>
      </c>
      <c r="U90" s="15">
        <f t="shared" si="5"/>
        <v>1</v>
      </c>
    </row>
    <row r="91" spans="1:21" ht="18.75" customHeight="1">
      <c r="A91" s="16">
        <v>93</v>
      </c>
      <c r="B91" s="3">
        <v>30</v>
      </c>
      <c r="C91" s="4" t="s">
        <v>111</v>
      </c>
      <c r="D91" s="9" t="s">
        <v>441</v>
      </c>
      <c r="E91" s="5" t="s">
        <v>82</v>
      </c>
      <c r="F91" s="6">
        <v>279</v>
      </c>
      <c r="G91" s="6">
        <v>1454</v>
      </c>
      <c r="H91" s="6">
        <v>782</v>
      </c>
      <c r="I91" s="6">
        <v>672</v>
      </c>
      <c r="J91" s="17">
        <f t="shared" si="3"/>
        <v>859.33503836317141</v>
      </c>
      <c r="K91" s="6">
        <v>568</v>
      </c>
      <c r="L91" s="6">
        <v>306</v>
      </c>
      <c r="M91" s="6">
        <v>262</v>
      </c>
      <c r="N91" s="7">
        <f t="shared" si="4"/>
        <v>39.064649243466299</v>
      </c>
      <c r="O91" s="6">
        <v>949</v>
      </c>
      <c r="P91" s="6">
        <v>579</v>
      </c>
      <c r="Q91" s="6">
        <v>370</v>
      </c>
      <c r="R91" s="7">
        <v>74.66561762391818</v>
      </c>
      <c r="S91" s="7">
        <v>85.147058823529406</v>
      </c>
      <c r="T91" s="7">
        <v>62.605752961082906</v>
      </c>
      <c r="U91" s="15">
        <f t="shared" si="5"/>
        <v>2</v>
      </c>
    </row>
    <row r="92" spans="1:21" ht="18.75" customHeight="1">
      <c r="A92" s="16">
        <v>94</v>
      </c>
      <c r="B92" s="3">
        <v>31</v>
      </c>
      <c r="C92" s="4" t="s">
        <v>112</v>
      </c>
      <c r="D92" s="9" t="s">
        <v>441</v>
      </c>
      <c r="E92" s="5" t="s">
        <v>82</v>
      </c>
      <c r="F92" s="6">
        <v>464</v>
      </c>
      <c r="G92" s="6">
        <v>2394</v>
      </c>
      <c r="H92" s="6">
        <v>1259</v>
      </c>
      <c r="I92" s="6">
        <v>1135</v>
      </c>
      <c r="J92" s="17">
        <f t="shared" si="3"/>
        <v>901.50913423351869</v>
      </c>
      <c r="K92" s="6">
        <v>767</v>
      </c>
      <c r="L92" s="6">
        <v>411</v>
      </c>
      <c r="M92" s="6">
        <v>356</v>
      </c>
      <c r="N92" s="7">
        <f t="shared" si="4"/>
        <v>32.038429406850462</v>
      </c>
      <c r="O92" s="6">
        <v>1602</v>
      </c>
      <c r="P92" s="6">
        <v>941</v>
      </c>
      <c r="Q92" s="6">
        <v>661</v>
      </c>
      <c r="R92" s="7">
        <v>75.63739376770539</v>
      </c>
      <c r="S92" s="7">
        <v>85.158371040723978</v>
      </c>
      <c r="T92" s="7">
        <v>65.25172754195458</v>
      </c>
      <c r="U92" s="15">
        <f t="shared" si="5"/>
        <v>1</v>
      </c>
    </row>
    <row r="93" spans="1:21" ht="18.75" customHeight="1">
      <c r="A93" s="16">
        <v>95</v>
      </c>
      <c r="B93" s="3">
        <v>32</v>
      </c>
      <c r="C93" s="4" t="s">
        <v>113</v>
      </c>
      <c r="D93" s="9" t="s">
        <v>441</v>
      </c>
      <c r="E93" s="5" t="s">
        <v>82</v>
      </c>
      <c r="F93" s="6">
        <v>241</v>
      </c>
      <c r="G93" s="6">
        <v>1301</v>
      </c>
      <c r="H93" s="6">
        <v>690</v>
      </c>
      <c r="I93" s="6">
        <v>611</v>
      </c>
      <c r="J93" s="17">
        <f t="shared" si="3"/>
        <v>885.50724637681151</v>
      </c>
      <c r="K93" s="6">
        <v>515</v>
      </c>
      <c r="L93" s="6">
        <v>270</v>
      </c>
      <c r="M93" s="6">
        <v>245</v>
      </c>
      <c r="N93" s="7">
        <f t="shared" si="4"/>
        <v>39.584934665641811</v>
      </c>
      <c r="O93" s="6">
        <v>854</v>
      </c>
      <c r="P93" s="6">
        <v>486</v>
      </c>
      <c r="Q93" s="6">
        <v>368</v>
      </c>
      <c r="R93" s="7">
        <v>75.308641975308646</v>
      </c>
      <c r="S93" s="7">
        <v>82.372881355932208</v>
      </c>
      <c r="T93" s="7">
        <v>67.64705882352942</v>
      </c>
      <c r="U93" s="15">
        <f t="shared" si="5"/>
        <v>2</v>
      </c>
    </row>
    <row r="94" spans="1:21" ht="18.75" customHeight="1">
      <c r="A94" s="16">
        <v>96</v>
      </c>
      <c r="B94" s="3">
        <v>33</v>
      </c>
      <c r="C94" s="4" t="s">
        <v>114</v>
      </c>
      <c r="D94" s="9" t="s">
        <v>441</v>
      </c>
      <c r="E94" s="5" t="s">
        <v>82</v>
      </c>
      <c r="F94" s="6">
        <v>124</v>
      </c>
      <c r="G94" s="6">
        <v>591</v>
      </c>
      <c r="H94" s="6">
        <v>310</v>
      </c>
      <c r="I94" s="6">
        <v>281</v>
      </c>
      <c r="J94" s="17">
        <f t="shared" si="3"/>
        <v>906.45161290322585</v>
      </c>
      <c r="K94" s="6">
        <v>510</v>
      </c>
      <c r="L94" s="6">
        <v>270</v>
      </c>
      <c r="M94" s="6">
        <v>240</v>
      </c>
      <c r="N94" s="7">
        <f t="shared" si="4"/>
        <v>86.294416243654823</v>
      </c>
      <c r="O94" s="6">
        <v>368</v>
      </c>
      <c r="P94" s="6">
        <v>216</v>
      </c>
      <c r="Q94" s="6">
        <v>152</v>
      </c>
      <c r="R94" s="7">
        <v>73.599999999999994</v>
      </c>
      <c r="S94" s="7">
        <v>82.129277566539926</v>
      </c>
      <c r="T94" s="7">
        <v>64.135021097046419</v>
      </c>
      <c r="U94" s="15">
        <f t="shared" si="5"/>
        <v>1</v>
      </c>
    </row>
    <row r="95" spans="1:21" ht="18.75" customHeight="1">
      <c r="A95" s="16">
        <v>97</v>
      </c>
      <c r="B95" s="3">
        <v>34</v>
      </c>
      <c r="C95" s="4" t="s">
        <v>115</v>
      </c>
      <c r="D95" s="9" t="s">
        <v>441</v>
      </c>
      <c r="E95" s="5" t="s">
        <v>82</v>
      </c>
      <c r="F95" s="6">
        <v>101</v>
      </c>
      <c r="G95" s="6">
        <v>516</v>
      </c>
      <c r="H95" s="6">
        <v>277</v>
      </c>
      <c r="I95" s="6">
        <v>239</v>
      </c>
      <c r="J95" s="17">
        <f t="shared" si="3"/>
        <v>862.81588447653439</v>
      </c>
      <c r="K95" s="6">
        <v>311</v>
      </c>
      <c r="L95" s="6">
        <v>164</v>
      </c>
      <c r="M95" s="6">
        <v>147</v>
      </c>
      <c r="N95" s="7">
        <f t="shared" si="4"/>
        <v>60.271317829457359</v>
      </c>
      <c r="O95" s="6">
        <v>319</v>
      </c>
      <c r="P95" s="6">
        <v>187</v>
      </c>
      <c r="Q95" s="6">
        <v>132</v>
      </c>
      <c r="R95" s="7">
        <v>71.364653243847869</v>
      </c>
      <c r="S95" s="7">
        <v>79.237288135593218</v>
      </c>
      <c r="T95" s="7">
        <v>62.559241706161139</v>
      </c>
      <c r="U95" s="15">
        <f t="shared" si="5"/>
        <v>2</v>
      </c>
    </row>
    <row r="96" spans="1:21" ht="18.75" customHeight="1">
      <c r="A96" s="16">
        <v>98</v>
      </c>
      <c r="B96" s="3">
        <v>35</v>
      </c>
      <c r="C96" s="4" t="s">
        <v>116</v>
      </c>
      <c r="D96" s="9" t="s">
        <v>441</v>
      </c>
      <c r="E96" s="5" t="s">
        <v>82</v>
      </c>
      <c r="F96" s="6">
        <v>214</v>
      </c>
      <c r="G96" s="6">
        <v>1115</v>
      </c>
      <c r="H96" s="6">
        <v>599</v>
      </c>
      <c r="I96" s="6">
        <v>516</v>
      </c>
      <c r="J96" s="17">
        <f t="shared" si="3"/>
        <v>861.43572621035059</v>
      </c>
      <c r="K96" s="6">
        <v>336</v>
      </c>
      <c r="L96" s="6">
        <v>185</v>
      </c>
      <c r="M96" s="6">
        <v>151</v>
      </c>
      <c r="N96" s="7">
        <f t="shared" si="4"/>
        <v>30.134529147982065</v>
      </c>
      <c r="O96" s="6">
        <v>767</v>
      </c>
      <c r="P96" s="6">
        <v>450</v>
      </c>
      <c r="Q96" s="6">
        <v>317</v>
      </c>
      <c r="R96" s="7">
        <v>77.553083923154702</v>
      </c>
      <c r="S96" s="7">
        <v>84.586466165413526</v>
      </c>
      <c r="T96" s="7">
        <v>69.365426695842444</v>
      </c>
      <c r="U96" s="15">
        <f t="shared" si="5"/>
        <v>2</v>
      </c>
    </row>
    <row r="97" spans="1:21" ht="18.75" customHeight="1">
      <c r="A97" s="16">
        <v>99</v>
      </c>
      <c r="B97" s="3">
        <v>36</v>
      </c>
      <c r="C97" s="4" t="s">
        <v>117</v>
      </c>
      <c r="D97" s="9" t="s">
        <v>441</v>
      </c>
      <c r="E97" s="5" t="s">
        <v>82</v>
      </c>
      <c r="F97" s="6">
        <v>623</v>
      </c>
      <c r="G97" s="6">
        <v>3510</v>
      </c>
      <c r="H97" s="6">
        <v>1859</v>
      </c>
      <c r="I97" s="6">
        <v>1651</v>
      </c>
      <c r="J97" s="17">
        <f t="shared" si="3"/>
        <v>888.11188811188811</v>
      </c>
      <c r="K97" s="6">
        <v>1285</v>
      </c>
      <c r="L97" s="6">
        <v>661</v>
      </c>
      <c r="M97" s="6">
        <v>624</v>
      </c>
      <c r="N97" s="7">
        <f t="shared" si="4"/>
        <v>36.609686609686612</v>
      </c>
      <c r="O97" s="6">
        <v>2350</v>
      </c>
      <c r="P97" s="6">
        <v>1367</v>
      </c>
      <c r="Q97" s="6">
        <v>983</v>
      </c>
      <c r="R97" s="7">
        <v>77.125041023957991</v>
      </c>
      <c r="S97" s="7">
        <v>85.277604491578302</v>
      </c>
      <c r="T97" s="7">
        <v>68.07479224376732</v>
      </c>
      <c r="U97" s="15">
        <f t="shared" si="5"/>
        <v>2</v>
      </c>
    </row>
    <row r="98" spans="1:21" ht="18.75" customHeight="1">
      <c r="A98" s="16">
        <v>100</v>
      </c>
      <c r="B98" s="3">
        <v>37</v>
      </c>
      <c r="C98" s="4" t="s">
        <v>118</v>
      </c>
      <c r="D98" s="9" t="s">
        <v>441</v>
      </c>
      <c r="E98" s="5" t="s">
        <v>82</v>
      </c>
      <c r="F98" s="6">
        <v>160</v>
      </c>
      <c r="G98" s="6">
        <v>820</v>
      </c>
      <c r="H98" s="6">
        <v>434</v>
      </c>
      <c r="I98" s="6">
        <v>386</v>
      </c>
      <c r="J98" s="17">
        <f t="shared" si="3"/>
        <v>889.40092165898625</v>
      </c>
      <c r="K98" s="6">
        <v>122</v>
      </c>
      <c r="L98" s="6">
        <v>58</v>
      </c>
      <c r="M98" s="6">
        <v>64</v>
      </c>
      <c r="N98" s="7">
        <f t="shared" si="4"/>
        <v>14.878048780487804</v>
      </c>
      <c r="O98" s="6">
        <v>607</v>
      </c>
      <c r="P98" s="6">
        <v>356</v>
      </c>
      <c r="Q98" s="6">
        <v>251</v>
      </c>
      <c r="R98" s="7">
        <v>82.027027027027017</v>
      </c>
      <c r="S98" s="7">
        <v>90.585241730279904</v>
      </c>
      <c r="T98" s="7">
        <v>72.334293948126799</v>
      </c>
      <c r="U98" s="15">
        <f t="shared" si="5"/>
        <v>2</v>
      </c>
    </row>
    <row r="99" spans="1:21" ht="18.75" customHeight="1">
      <c r="A99" s="16">
        <v>101</v>
      </c>
      <c r="B99" s="3">
        <v>38</v>
      </c>
      <c r="C99" s="4" t="s">
        <v>119</v>
      </c>
      <c r="D99" s="9" t="s">
        <v>441</v>
      </c>
      <c r="E99" s="5" t="s">
        <v>82</v>
      </c>
      <c r="F99" s="6">
        <v>277</v>
      </c>
      <c r="G99" s="6">
        <v>1517</v>
      </c>
      <c r="H99" s="6">
        <v>783</v>
      </c>
      <c r="I99" s="6">
        <v>734</v>
      </c>
      <c r="J99" s="17">
        <f t="shared" si="3"/>
        <v>937.42017879948912</v>
      </c>
      <c r="K99" s="6">
        <v>538</v>
      </c>
      <c r="L99" s="6">
        <v>280</v>
      </c>
      <c r="M99" s="6">
        <v>258</v>
      </c>
      <c r="N99" s="7">
        <f t="shared" si="4"/>
        <v>35.464733025708632</v>
      </c>
      <c r="O99" s="6">
        <v>998</v>
      </c>
      <c r="P99" s="6">
        <v>581</v>
      </c>
      <c r="Q99" s="6">
        <v>417</v>
      </c>
      <c r="R99" s="7">
        <v>75.778283978739552</v>
      </c>
      <c r="S99" s="7">
        <v>86.074074074074076</v>
      </c>
      <c r="T99" s="7">
        <v>64.953271028037392</v>
      </c>
      <c r="U99" s="15">
        <f t="shared" si="5"/>
        <v>1</v>
      </c>
    </row>
    <row r="100" spans="1:21" ht="18.75" customHeight="1">
      <c r="A100" s="16">
        <v>102</v>
      </c>
      <c r="B100" s="3">
        <v>39</v>
      </c>
      <c r="C100" s="4" t="s">
        <v>120</v>
      </c>
      <c r="D100" s="9" t="s">
        <v>441</v>
      </c>
      <c r="E100" s="5" t="s">
        <v>82</v>
      </c>
      <c r="F100" s="6">
        <v>257</v>
      </c>
      <c r="G100" s="6">
        <v>1482</v>
      </c>
      <c r="H100" s="6">
        <v>809</v>
      </c>
      <c r="I100" s="6">
        <v>673</v>
      </c>
      <c r="J100" s="17">
        <f t="shared" si="3"/>
        <v>831.8912237330037</v>
      </c>
      <c r="K100" s="6">
        <v>491</v>
      </c>
      <c r="L100" s="6">
        <v>266</v>
      </c>
      <c r="M100" s="6">
        <v>225</v>
      </c>
      <c r="N100" s="7">
        <f t="shared" si="4"/>
        <v>33.130904183535762</v>
      </c>
      <c r="O100" s="6">
        <v>965</v>
      </c>
      <c r="P100" s="6">
        <v>558</v>
      </c>
      <c r="Q100" s="6">
        <v>407</v>
      </c>
      <c r="R100" s="7">
        <v>73.216995447647946</v>
      </c>
      <c r="S100" s="7">
        <v>79.600570613409417</v>
      </c>
      <c r="T100" s="7">
        <v>65.964343598055109</v>
      </c>
      <c r="U100" s="15">
        <f t="shared" si="5"/>
        <v>2</v>
      </c>
    </row>
    <row r="101" spans="1:21" ht="18.75" customHeight="1">
      <c r="A101" s="16">
        <v>103</v>
      </c>
      <c r="B101" s="3">
        <v>40</v>
      </c>
      <c r="C101" s="4" t="s">
        <v>121</v>
      </c>
      <c r="D101" s="9" t="s">
        <v>441</v>
      </c>
      <c r="E101" s="5" t="s">
        <v>82</v>
      </c>
      <c r="F101" s="6">
        <v>138</v>
      </c>
      <c r="G101" s="6">
        <v>779</v>
      </c>
      <c r="H101" s="6">
        <v>405</v>
      </c>
      <c r="I101" s="6">
        <v>374</v>
      </c>
      <c r="J101" s="17">
        <f t="shared" si="3"/>
        <v>923.45679012345681</v>
      </c>
      <c r="K101" s="6">
        <v>140</v>
      </c>
      <c r="L101" s="6">
        <v>73</v>
      </c>
      <c r="M101" s="6">
        <v>67</v>
      </c>
      <c r="N101" s="7">
        <f t="shared" si="4"/>
        <v>17.971758664955072</v>
      </c>
      <c r="O101" s="6">
        <v>545</v>
      </c>
      <c r="P101" s="6">
        <v>312</v>
      </c>
      <c r="Q101" s="6">
        <v>233</v>
      </c>
      <c r="R101" s="7">
        <v>77.524893314366992</v>
      </c>
      <c r="S101" s="7">
        <v>86.908077994428965</v>
      </c>
      <c r="T101" s="7">
        <v>67.732558139534888</v>
      </c>
      <c r="U101" s="15">
        <f t="shared" si="5"/>
        <v>1</v>
      </c>
    </row>
    <row r="102" spans="1:21" ht="18.75" customHeight="1">
      <c r="A102" s="16">
        <v>104</v>
      </c>
      <c r="B102" s="3">
        <v>41</v>
      </c>
      <c r="C102" s="4" t="s">
        <v>122</v>
      </c>
      <c r="D102" s="9" t="s">
        <v>441</v>
      </c>
      <c r="E102" s="5" t="s">
        <v>82</v>
      </c>
      <c r="F102" s="6">
        <v>1011</v>
      </c>
      <c r="G102" s="6">
        <v>5325</v>
      </c>
      <c r="H102" s="6">
        <v>2806</v>
      </c>
      <c r="I102" s="6">
        <v>2519</v>
      </c>
      <c r="J102" s="17">
        <f t="shared" si="3"/>
        <v>897.71917320028513</v>
      </c>
      <c r="K102" s="6">
        <v>1435</v>
      </c>
      <c r="L102" s="6">
        <v>752</v>
      </c>
      <c r="M102" s="6">
        <v>683</v>
      </c>
      <c r="N102" s="7">
        <f t="shared" si="4"/>
        <v>26.948356807511736</v>
      </c>
      <c r="O102" s="6">
        <v>3548</v>
      </c>
      <c r="P102" s="6">
        <v>2053</v>
      </c>
      <c r="Q102" s="6">
        <v>1495</v>
      </c>
      <c r="R102" s="7">
        <v>75.876817792985463</v>
      </c>
      <c r="S102" s="7">
        <v>83.795918367346943</v>
      </c>
      <c r="T102" s="7">
        <v>67.160826594788858</v>
      </c>
      <c r="U102" s="15">
        <f t="shared" si="5"/>
        <v>2</v>
      </c>
    </row>
    <row r="103" spans="1:21" ht="18.75" customHeight="1">
      <c r="A103" s="16">
        <v>105</v>
      </c>
      <c r="B103" s="3">
        <v>42</v>
      </c>
      <c r="C103" s="4" t="s">
        <v>123</v>
      </c>
      <c r="D103" s="9" t="s">
        <v>441</v>
      </c>
      <c r="E103" s="5" t="s">
        <v>82</v>
      </c>
      <c r="F103" s="6">
        <v>198</v>
      </c>
      <c r="G103" s="6">
        <v>1120</v>
      </c>
      <c r="H103" s="6">
        <v>593</v>
      </c>
      <c r="I103" s="6">
        <v>527</v>
      </c>
      <c r="J103" s="17">
        <f t="shared" si="3"/>
        <v>888.70151770657674</v>
      </c>
      <c r="K103" s="6">
        <v>281</v>
      </c>
      <c r="L103" s="6">
        <v>155</v>
      </c>
      <c r="M103" s="6">
        <v>126</v>
      </c>
      <c r="N103" s="7">
        <f t="shared" si="4"/>
        <v>25.089285714285715</v>
      </c>
      <c r="O103" s="6">
        <v>756</v>
      </c>
      <c r="P103" s="6">
        <v>438</v>
      </c>
      <c r="Q103" s="6">
        <v>318</v>
      </c>
      <c r="R103" s="7">
        <v>78.504672897196258</v>
      </c>
      <c r="S103" s="7">
        <v>86.56126482213439</v>
      </c>
      <c r="T103" s="7">
        <v>69.584245076586441</v>
      </c>
      <c r="U103" s="15">
        <f t="shared" si="5"/>
        <v>2</v>
      </c>
    </row>
    <row r="104" spans="1:21" ht="18.75" customHeight="1">
      <c r="A104" s="16">
        <v>106</v>
      </c>
      <c r="B104" s="3">
        <v>43</v>
      </c>
      <c r="C104" s="4" t="s">
        <v>124</v>
      </c>
      <c r="D104" s="9" t="s">
        <v>441</v>
      </c>
      <c r="E104" s="5" t="s">
        <v>82</v>
      </c>
      <c r="F104" s="6">
        <v>200</v>
      </c>
      <c r="G104" s="6">
        <v>1067</v>
      </c>
      <c r="H104" s="6">
        <v>562</v>
      </c>
      <c r="I104" s="6">
        <v>505</v>
      </c>
      <c r="J104" s="17">
        <f t="shared" si="3"/>
        <v>898.57651245551608</v>
      </c>
      <c r="K104" s="6">
        <v>179</v>
      </c>
      <c r="L104" s="6">
        <v>101</v>
      </c>
      <c r="M104" s="6">
        <v>78</v>
      </c>
      <c r="N104" s="7">
        <f t="shared" si="4"/>
        <v>16.776007497656984</v>
      </c>
      <c r="O104" s="6">
        <v>799</v>
      </c>
      <c r="P104" s="6">
        <v>439</v>
      </c>
      <c r="Q104" s="6">
        <v>360</v>
      </c>
      <c r="R104" s="7">
        <v>83.056133056133049</v>
      </c>
      <c r="S104" s="7">
        <v>87.975951903807612</v>
      </c>
      <c r="T104" s="7">
        <v>77.753779697624196</v>
      </c>
      <c r="U104" s="15">
        <f t="shared" si="5"/>
        <v>2</v>
      </c>
    </row>
    <row r="105" spans="1:21" ht="18.75" customHeight="1">
      <c r="A105" s="16">
        <v>107</v>
      </c>
      <c r="B105" s="3">
        <v>44</v>
      </c>
      <c r="C105" s="4" t="s">
        <v>125</v>
      </c>
      <c r="D105" s="9" t="s">
        <v>441</v>
      </c>
      <c r="E105" s="5" t="s">
        <v>82</v>
      </c>
      <c r="F105" s="6">
        <v>406</v>
      </c>
      <c r="G105" s="6">
        <v>2215</v>
      </c>
      <c r="H105" s="6">
        <v>1169</v>
      </c>
      <c r="I105" s="6">
        <v>1046</v>
      </c>
      <c r="J105" s="17">
        <f t="shared" si="3"/>
        <v>894.781864841745</v>
      </c>
      <c r="K105" s="6">
        <v>593</v>
      </c>
      <c r="L105" s="6">
        <v>309</v>
      </c>
      <c r="M105" s="6">
        <v>284</v>
      </c>
      <c r="N105" s="7">
        <f t="shared" si="4"/>
        <v>26.772009029345373</v>
      </c>
      <c r="O105" s="6">
        <v>1548</v>
      </c>
      <c r="P105" s="6">
        <v>909</v>
      </c>
      <c r="Q105" s="6">
        <v>639</v>
      </c>
      <c r="R105" s="7">
        <v>79.141104294478524</v>
      </c>
      <c r="S105" s="7">
        <v>88.94324853228963</v>
      </c>
      <c r="T105" s="7">
        <v>68.415417558886503</v>
      </c>
      <c r="U105" s="15">
        <f t="shared" si="5"/>
        <v>2</v>
      </c>
    </row>
    <row r="106" spans="1:21" ht="18.75" customHeight="1">
      <c r="A106" s="16">
        <v>108</v>
      </c>
      <c r="B106" s="3">
        <v>45</v>
      </c>
      <c r="C106" s="4" t="s">
        <v>126</v>
      </c>
      <c r="D106" s="9" t="s">
        <v>441</v>
      </c>
      <c r="E106" s="5" t="s">
        <v>82</v>
      </c>
      <c r="F106" s="6">
        <v>326</v>
      </c>
      <c r="G106" s="6">
        <v>1754</v>
      </c>
      <c r="H106" s="6">
        <v>946</v>
      </c>
      <c r="I106" s="6">
        <v>808</v>
      </c>
      <c r="J106" s="17">
        <f t="shared" si="3"/>
        <v>854.12262156448207</v>
      </c>
      <c r="K106" s="6">
        <v>1122</v>
      </c>
      <c r="L106" s="6">
        <v>596</v>
      </c>
      <c r="M106" s="6">
        <v>526</v>
      </c>
      <c r="N106" s="7">
        <f t="shared" si="4"/>
        <v>63.968072976054735</v>
      </c>
      <c r="O106" s="6">
        <v>1032</v>
      </c>
      <c r="P106" s="6">
        <v>592</v>
      </c>
      <c r="Q106" s="6">
        <v>440</v>
      </c>
      <c r="R106" s="7">
        <v>68.299139642620773</v>
      </c>
      <c r="S106" s="7">
        <v>73.267326732673268</v>
      </c>
      <c r="T106" s="7">
        <v>62.588904694167859</v>
      </c>
      <c r="U106" s="15">
        <f t="shared" si="5"/>
        <v>2</v>
      </c>
    </row>
    <row r="107" spans="1:21" ht="18.75" customHeight="1">
      <c r="A107" s="16">
        <v>109</v>
      </c>
      <c r="B107" s="3">
        <v>46</v>
      </c>
      <c r="C107" s="4" t="s">
        <v>127</v>
      </c>
      <c r="D107" s="9" t="s">
        <v>441</v>
      </c>
      <c r="E107" s="5" t="s">
        <v>82</v>
      </c>
      <c r="F107" s="6">
        <v>316</v>
      </c>
      <c r="G107" s="6">
        <v>1497</v>
      </c>
      <c r="H107" s="6">
        <v>796</v>
      </c>
      <c r="I107" s="6">
        <v>701</v>
      </c>
      <c r="J107" s="17">
        <f t="shared" si="3"/>
        <v>880.6532663316583</v>
      </c>
      <c r="K107" s="6">
        <v>266</v>
      </c>
      <c r="L107" s="6">
        <v>134</v>
      </c>
      <c r="M107" s="6">
        <v>132</v>
      </c>
      <c r="N107" s="7">
        <f t="shared" si="4"/>
        <v>17.768871075484302</v>
      </c>
      <c r="O107" s="6">
        <v>965</v>
      </c>
      <c r="P107" s="6">
        <v>560</v>
      </c>
      <c r="Q107" s="6">
        <v>405</v>
      </c>
      <c r="R107" s="7">
        <v>72.610985703536485</v>
      </c>
      <c r="S107" s="7">
        <v>79.658605974395442</v>
      </c>
      <c r="T107" s="7">
        <v>64.696485623003198</v>
      </c>
      <c r="U107" s="15">
        <f t="shared" si="5"/>
        <v>2</v>
      </c>
    </row>
    <row r="108" spans="1:21" ht="18.75" customHeight="1">
      <c r="A108" s="16">
        <v>110</v>
      </c>
      <c r="B108" s="3">
        <v>47</v>
      </c>
      <c r="C108" s="4" t="s">
        <v>128</v>
      </c>
      <c r="D108" s="9" t="s">
        <v>441</v>
      </c>
      <c r="E108" s="5" t="s">
        <v>82</v>
      </c>
      <c r="F108" s="6">
        <v>138</v>
      </c>
      <c r="G108" s="6">
        <v>788</v>
      </c>
      <c r="H108" s="6">
        <v>408</v>
      </c>
      <c r="I108" s="6">
        <v>380</v>
      </c>
      <c r="J108" s="17">
        <f t="shared" si="3"/>
        <v>931.37254901960785</v>
      </c>
      <c r="K108" s="6">
        <v>35</v>
      </c>
      <c r="L108" s="6">
        <v>19</v>
      </c>
      <c r="M108" s="6">
        <v>16</v>
      </c>
      <c r="N108" s="7">
        <f t="shared" si="4"/>
        <v>4.4416243654822338</v>
      </c>
      <c r="O108" s="6">
        <v>539</v>
      </c>
      <c r="P108" s="6">
        <v>314</v>
      </c>
      <c r="Q108" s="6">
        <v>225</v>
      </c>
      <c r="R108" s="7">
        <v>76.345609065155813</v>
      </c>
      <c r="S108" s="7">
        <v>87.465181058495816</v>
      </c>
      <c r="T108" s="7">
        <v>64.84149855907782</v>
      </c>
      <c r="U108" s="15">
        <f t="shared" si="5"/>
        <v>1</v>
      </c>
    </row>
    <row r="109" spans="1:21" ht="18.75" customHeight="1">
      <c r="A109" s="16">
        <v>111</v>
      </c>
      <c r="B109" s="3">
        <v>48</v>
      </c>
      <c r="C109" s="4" t="s">
        <v>129</v>
      </c>
      <c r="D109" s="9" t="s">
        <v>441</v>
      </c>
      <c r="E109" s="5" t="s">
        <v>82</v>
      </c>
      <c r="F109" s="6">
        <v>119</v>
      </c>
      <c r="G109" s="6">
        <v>652</v>
      </c>
      <c r="H109" s="6">
        <v>337</v>
      </c>
      <c r="I109" s="6">
        <v>315</v>
      </c>
      <c r="J109" s="17">
        <f t="shared" si="3"/>
        <v>934.71810089020767</v>
      </c>
      <c r="K109" s="6">
        <v>15</v>
      </c>
      <c r="L109" s="6">
        <v>7</v>
      </c>
      <c r="M109" s="6">
        <v>8</v>
      </c>
      <c r="N109" s="7">
        <f t="shared" si="4"/>
        <v>2.3006134969325154</v>
      </c>
      <c r="O109" s="6">
        <v>498</v>
      </c>
      <c r="P109" s="6">
        <v>285</v>
      </c>
      <c r="Q109" s="6">
        <v>213</v>
      </c>
      <c r="R109" s="7">
        <v>83.557046979865774</v>
      </c>
      <c r="S109" s="7">
        <v>93.75</v>
      </c>
      <c r="T109" s="7">
        <v>72.945205479452056</v>
      </c>
      <c r="U109" s="15">
        <f t="shared" si="5"/>
        <v>1</v>
      </c>
    </row>
    <row r="110" spans="1:21" ht="18.75" customHeight="1">
      <c r="A110" s="16">
        <v>112</v>
      </c>
      <c r="B110" s="3">
        <v>49</v>
      </c>
      <c r="C110" s="4" t="s">
        <v>130</v>
      </c>
      <c r="D110" s="9" t="s">
        <v>441</v>
      </c>
      <c r="E110" s="5" t="s">
        <v>82</v>
      </c>
      <c r="F110" s="6">
        <v>200</v>
      </c>
      <c r="G110" s="6">
        <v>1018</v>
      </c>
      <c r="H110" s="6">
        <v>539</v>
      </c>
      <c r="I110" s="6">
        <v>479</v>
      </c>
      <c r="J110" s="17">
        <f t="shared" si="3"/>
        <v>888.68274582560286</v>
      </c>
      <c r="K110" s="6">
        <v>272</v>
      </c>
      <c r="L110" s="6">
        <v>148</v>
      </c>
      <c r="M110" s="6">
        <v>124</v>
      </c>
      <c r="N110" s="7">
        <f t="shared" si="4"/>
        <v>26.719056974459725</v>
      </c>
      <c r="O110" s="6">
        <v>717</v>
      </c>
      <c r="P110" s="6">
        <v>408</v>
      </c>
      <c r="Q110" s="6">
        <v>309</v>
      </c>
      <c r="R110" s="7">
        <v>79.490022172949011</v>
      </c>
      <c r="S110" s="7">
        <v>85.894736842105274</v>
      </c>
      <c r="T110" s="7">
        <v>72.365339578454339</v>
      </c>
      <c r="U110" s="15">
        <f t="shared" si="5"/>
        <v>2</v>
      </c>
    </row>
    <row r="111" spans="1:21" ht="18.75" customHeight="1">
      <c r="A111" s="16">
        <v>113</v>
      </c>
      <c r="B111" s="3">
        <v>50</v>
      </c>
      <c r="C111" s="4" t="s">
        <v>131</v>
      </c>
      <c r="D111" s="9" t="s">
        <v>441</v>
      </c>
      <c r="E111" s="5" t="s">
        <v>82</v>
      </c>
      <c r="F111" s="6">
        <v>203</v>
      </c>
      <c r="G111" s="6">
        <v>952</v>
      </c>
      <c r="H111" s="6">
        <v>503</v>
      </c>
      <c r="I111" s="6">
        <v>449</v>
      </c>
      <c r="J111" s="17">
        <f t="shared" si="3"/>
        <v>892.64413518886681</v>
      </c>
      <c r="K111" s="6">
        <v>544</v>
      </c>
      <c r="L111" s="6">
        <v>291</v>
      </c>
      <c r="M111" s="6">
        <v>253</v>
      </c>
      <c r="N111" s="7">
        <f t="shared" si="4"/>
        <v>57.142857142857139</v>
      </c>
      <c r="O111" s="6">
        <v>623</v>
      </c>
      <c r="P111" s="6">
        <v>372</v>
      </c>
      <c r="Q111" s="6">
        <v>251</v>
      </c>
      <c r="R111" s="7">
        <v>73.466981132075475</v>
      </c>
      <c r="S111" s="7">
        <v>81.93832599118943</v>
      </c>
      <c r="T111" s="7">
        <v>63.705583756345177</v>
      </c>
      <c r="U111" s="15">
        <f t="shared" si="5"/>
        <v>2</v>
      </c>
    </row>
    <row r="112" spans="1:21" ht="18.75" customHeight="1">
      <c r="A112" s="16">
        <v>114</v>
      </c>
      <c r="B112" s="3">
        <v>51</v>
      </c>
      <c r="C112" s="4" t="s">
        <v>132</v>
      </c>
      <c r="D112" s="9" t="s">
        <v>441</v>
      </c>
      <c r="E112" s="5" t="s">
        <v>82</v>
      </c>
      <c r="F112" s="6">
        <v>412</v>
      </c>
      <c r="G112" s="6">
        <v>1943</v>
      </c>
      <c r="H112" s="6">
        <v>1032</v>
      </c>
      <c r="I112" s="6">
        <v>911</v>
      </c>
      <c r="J112" s="17">
        <f t="shared" si="3"/>
        <v>882.75193798449618</v>
      </c>
      <c r="K112" s="6">
        <v>1034</v>
      </c>
      <c r="L112" s="6">
        <v>556</v>
      </c>
      <c r="M112" s="6">
        <v>478</v>
      </c>
      <c r="N112" s="7">
        <f t="shared" si="4"/>
        <v>53.216675244467318</v>
      </c>
      <c r="O112" s="6">
        <v>1320</v>
      </c>
      <c r="P112" s="6">
        <v>773</v>
      </c>
      <c r="Q112" s="6">
        <v>547</v>
      </c>
      <c r="R112" s="7">
        <v>76.212471131639731</v>
      </c>
      <c r="S112" s="7">
        <v>83.930510314875136</v>
      </c>
      <c r="T112" s="7">
        <v>67.447595561035754</v>
      </c>
      <c r="U112" s="15">
        <f t="shared" si="5"/>
        <v>2</v>
      </c>
    </row>
    <row r="113" spans="1:21" ht="18.75" customHeight="1">
      <c r="A113" s="16">
        <v>115</v>
      </c>
      <c r="B113" s="3">
        <v>52</v>
      </c>
      <c r="C113" s="4" t="s">
        <v>133</v>
      </c>
      <c r="D113" s="9" t="s">
        <v>441</v>
      </c>
      <c r="E113" s="5" t="s">
        <v>82</v>
      </c>
      <c r="F113" s="6">
        <v>185</v>
      </c>
      <c r="G113" s="6">
        <v>978</v>
      </c>
      <c r="H113" s="6">
        <v>508</v>
      </c>
      <c r="I113" s="6">
        <v>470</v>
      </c>
      <c r="J113" s="17">
        <f t="shared" si="3"/>
        <v>925.19685039370086</v>
      </c>
      <c r="K113" s="6">
        <v>536</v>
      </c>
      <c r="L113" s="6">
        <v>280</v>
      </c>
      <c r="M113" s="6">
        <v>256</v>
      </c>
      <c r="N113" s="7">
        <f t="shared" si="4"/>
        <v>54.805725971370144</v>
      </c>
      <c r="O113" s="6">
        <v>632</v>
      </c>
      <c r="P113" s="6">
        <v>357</v>
      </c>
      <c r="Q113" s="6">
        <v>275</v>
      </c>
      <c r="R113" s="7">
        <v>72.811059907834093</v>
      </c>
      <c r="S113" s="7">
        <v>79.157427937915742</v>
      </c>
      <c r="T113" s="7">
        <v>65.947242206235018</v>
      </c>
      <c r="U113" s="15">
        <f t="shared" si="5"/>
        <v>1</v>
      </c>
    </row>
    <row r="114" spans="1:21" ht="18.75" customHeight="1">
      <c r="A114" s="16">
        <v>116</v>
      </c>
      <c r="B114" s="3">
        <v>53</v>
      </c>
      <c r="C114" s="4" t="s">
        <v>134</v>
      </c>
      <c r="D114" s="9" t="s">
        <v>441</v>
      </c>
      <c r="E114" s="5" t="s">
        <v>82</v>
      </c>
      <c r="F114" s="6">
        <v>203</v>
      </c>
      <c r="G114" s="6">
        <v>1144</v>
      </c>
      <c r="H114" s="6">
        <v>624</v>
      </c>
      <c r="I114" s="6">
        <v>520</v>
      </c>
      <c r="J114" s="17">
        <f t="shared" si="3"/>
        <v>833.33333333333337</v>
      </c>
      <c r="K114" s="6">
        <v>233</v>
      </c>
      <c r="L114" s="6">
        <v>129</v>
      </c>
      <c r="M114" s="6">
        <v>104</v>
      </c>
      <c r="N114" s="7">
        <f t="shared" si="4"/>
        <v>20.367132867132867</v>
      </c>
      <c r="O114" s="6">
        <v>787</v>
      </c>
      <c r="P114" s="6">
        <v>451</v>
      </c>
      <c r="Q114" s="6">
        <v>336</v>
      </c>
      <c r="R114" s="7">
        <v>76.482021379980552</v>
      </c>
      <c r="S114" s="7">
        <v>82.149362477231321</v>
      </c>
      <c r="T114" s="7">
        <v>70</v>
      </c>
      <c r="U114" s="15">
        <f t="shared" si="5"/>
        <v>2</v>
      </c>
    </row>
    <row r="115" spans="1:21" ht="18.75" customHeight="1">
      <c r="A115" s="16">
        <v>117</v>
      </c>
      <c r="B115" s="3">
        <v>54</v>
      </c>
      <c r="C115" s="4" t="s">
        <v>135</v>
      </c>
      <c r="D115" s="9" t="s">
        <v>441</v>
      </c>
      <c r="E115" s="5" t="s">
        <v>82</v>
      </c>
      <c r="F115" s="6">
        <v>314</v>
      </c>
      <c r="G115" s="6">
        <v>1673</v>
      </c>
      <c r="H115" s="6">
        <v>885</v>
      </c>
      <c r="I115" s="6">
        <v>788</v>
      </c>
      <c r="J115" s="17">
        <f t="shared" si="3"/>
        <v>890.39548022598865</v>
      </c>
      <c r="K115" s="6">
        <v>233</v>
      </c>
      <c r="L115" s="6">
        <v>127</v>
      </c>
      <c r="M115" s="6">
        <v>106</v>
      </c>
      <c r="N115" s="7">
        <f t="shared" si="4"/>
        <v>13.927077106993424</v>
      </c>
      <c r="O115" s="6">
        <v>1216</v>
      </c>
      <c r="P115" s="6">
        <v>694</v>
      </c>
      <c r="Q115" s="6">
        <v>522</v>
      </c>
      <c r="R115" s="7">
        <v>80.317040951122848</v>
      </c>
      <c r="S115" s="7">
        <v>87.515762925598992</v>
      </c>
      <c r="T115" s="7">
        <v>72.399445214979195</v>
      </c>
      <c r="U115" s="15">
        <f t="shared" si="5"/>
        <v>2</v>
      </c>
    </row>
    <row r="116" spans="1:21" ht="18.75" customHeight="1">
      <c r="A116" s="16">
        <v>118</v>
      </c>
      <c r="B116" s="3">
        <v>55</v>
      </c>
      <c r="C116" s="4" t="s">
        <v>136</v>
      </c>
      <c r="D116" s="9" t="s">
        <v>441</v>
      </c>
      <c r="E116" s="5" t="s">
        <v>82</v>
      </c>
      <c r="F116" s="6">
        <v>49</v>
      </c>
      <c r="G116" s="6">
        <v>334</v>
      </c>
      <c r="H116" s="6">
        <v>170</v>
      </c>
      <c r="I116" s="6">
        <v>164</v>
      </c>
      <c r="J116" s="17">
        <f t="shared" si="3"/>
        <v>964.70588235294122</v>
      </c>
      <c r="K116" s="6">
        <v>32</v>
      </c>
      <c r="L116" s="6">
        <v>17</v>
      </c>
      <c r="M116" s="6">
        <v>15</v>
      </c>
      <c r="N116" s="7">
        <f t="shared" si="4"/>
        <v>9.5808383233532943</v>
      </c>
      <c r="O116" s="6">
        <v>236</v>
      </c>
      <c r="P116" s="6">
        <v>130</v>
      </c>
      <c r="Q116" s="6">
        <v>106</v>
      </c>
      <c r="R116" s="7">
        <v>77.631578947368425</v>
      </c>
      <c r="S116" s="7">
        <v>83.870967741935488</v>
      </c>
      <c r="T116" s="7">
        <v>71.140939597315437</v>
      </c>
      <c r="U116" s="15">
        <f t="shared" si="5"/>
        <v>1</v>
      </c>
    </row>
    <row r="117" spans="1:21" ht="18.75" customHeight="1">
      <c r="A117" s="16">
        <v>119</v>
      </c>
      <c r="B117" s="3">
        <v>56</v>
      </c>
      <c r="C117" s="4" t="s">
        <v>137</v>
      </c>
      <c r="D117" s="9" t="s">
        <v>441</v>
      </c>
      <c r="E117" s="5" t="s">
        <v>82</v>
      </c>
      <c r="F117" s="6">
        <v>867</v>
      </c>
      <c r="G117" s="6">
        <v>4546</v>
      </c>
      <c r="H117" s="6">
        <v>2422</v>
      </c>
      <c r="I117" s="6">
        <v>2124</v>
      </c>
      <c r="J117" s="17">
        <f t="shared" si="3"/>
        <v>876.96118909991742</v>
      </c>
      <c r="K117" s="6">
        <v>1385</v>
      </c>
      <c r="L117" s="6">
        <v>737</v>
      </c>
      <c r="M117" s="6">
        <v>648</v>
      </c>
      <c r="N117" s="7">
        <f t="shared" si="4"/>
        <v>30.466344038715356</v>
      </c>
      <c r="O117" s="6">
        <v>3041</v>
      </c>
      <c r="P117" s="6">
        <v>1805</v>
      </c>
      <c r="Q117" s="6">
        <v>1236</v>
      </c>
      <c r="R117" s="7">
        <v>75.049358341559724</v>
      </c>
      <c r="S117" s="7">
        <v>83.875464684014872</v>
      </c>
      <c r="T117" s="7">
        <v>65.05263157894737</v>
      </c>
      <c r="U117" s="15">
        <f t="shared" si="5"/>
        <v>2</v>
      </c>
    </row>
    <row r="118" spans="1:21" ht="18.75" customHeight="1">
      <c r="A118" s="16">
        <v>120</v>
      </c>
      <c r="B118" s="3">
        <v>57</v>
      </c>
      <c r="C118" s="4" t="s">
        <v>138</v>
      </c>
      <c r="D118" s="9" t="s">
        <v>441</v>
      </c>
      <c r="E118" s="5" t="s">
        <v>82</v>
      </c>
      <c r="F118" s="6">
        <v>127</v>
      </c>
      <c r="G118" s="6">
        <v>681</v>
      </c>
      <c r="H118" s="6">
        <v>358</v>
      </c>
      <c r="I118" s="6">
        <v>323</v>
      </c>
      <c r="J118" s="17">
        <f t="shared" si="3"/>
        <v>902.23463687150843</v>
      </c>
      <c r="K118" s="6">
        <v>402</v>
      </c>
      <c r="L118" s="6">
        <v>211</v>
      </c>
      <c r="M118" s="6">
        <v>191</v>
      </c>
      <c r="N118" s="7">
        <f t="shared" si="4"/>
        <v>59.030837004405292</v>
      </c>
      <c r="O118" s="6">
        <v>430</v>
      </c>
      <c r="P118" s="6">
        <v>247</v>
      </c>
      <c r="Q118" s="6">
        <v>183</v>
      </c>
      <c r="R118" s="7">
        <v>74.010327022375208</v>
      </c>
      <c r="S118" s="7">
        <v>81.25</v>
      </c>
      <c r="T118" s="7">
        <v>66.064981949458485</v>
      </c>
      <c r="U118" s="15">
        <f t="shared" si="5"/>
        <v>1</v>
      </c>
    </row>
    <row r="119" spans="1:21" ht="18.75" customHeight="1">
      <c r="A119" s="16">
        <v>121</v>
      </c>
      <c r="B119" s="3">
        <v>58</v>
      </c>
      <c r="C119" s="4" t="s">
        <v>139</v>
      </c>
      <c r="D119" s="9" t="s">
        <v>441</v>
      </c>
      <c r="E119" s="5" t="s">
        <v>82</v>
      </c>
      <c r="F119" s="6">
        <v>321</v>
      </c>
      <c r="G119" s="6">
        <v>1643</v>
      </c>
      <c r="H119" s="6">
        <v>859</v>
      </c>
      <c r="I119" s="6">
        <v>784</v>
      </c>
      <c r="J119" s="17">
        <f t="shared" si="3"/>
        <v>912.68917345750879</v>
      </c>
      <c r="K119" s="6">
        <v>590</v>
      </c>
      <c r="L119" s="6">
        <v>307</v>
      </c>
      <c r="M119" s="6">
        <v>283</v>
      </c>
      <c r="N119" s="7">
        <f t="shared" si="4"/>
        <v>35.909920876445526</v>
      </c>
      <c r="O119" s="6">
        <v>1058</v>
      </c>
      <c r="P119" s="6">
        <v>592</v>
      </c>
      <c r="Q119" s="6">
        <v>466</v>
      </c>
      <c r="R119" s="7">
        <v>71.923861318830731</v>
      </c>
      <c r="S119" s="7">
        <v>78.100263852242747</v>
      </c>
      <c r="T119" s="7">
        <v>65.357643758765789</v>
      </c>
      <c r="U119" s="15">
        <f t="shared" si="5"/>
        <v>1</v>
      </c>
    </row>
    <row r="120" spans="1:21" ht="18.75" customHeight="1">
      <c r="A120" s="16">
        <v>122</v>
      </c>
      <c r="B120" s="3">
        <v>59</v>
      </c>
      <c r="C120" s="4" t="s">
        <v>140</v>
      </c>
      <c r="D120" s="9" t="s">
        <v>441</v>
      </c>
      <c r="E120" s="5" t="s">
        <v>82</v>
      </c>
      <c r="F120" s="6">
        <v>15</v>
      </c>
      <c r="G120" s="6">
        <v>76</v>
      </c>
      <c r="H120" s="6">
        <v>40</v>
      </c>
      <c r="I120" s="6">
        <v>36</v>
      </c>
      <c r="J120" s="17">
        <f t="shared" si="3"/>
        <v>900</v>
      </c>
      <c r="K120" s="6">
        <v>21</v>
      </c>
      <c r="L120" s="6">
        <v>13</v>
      </c>
      <c r="M120" s="6">
        <v>8</v>
      </c>
      <c r="N120" s="7">
        <f t="shared" si="4"/>
        <v>27.631578947368425</v>
      </c>
      <c r="O120" s="6">
        <v>49</v>
      </c>
      <c r="P120" s="6">
        <v>29</v>
      </c>
      <c r="Q120" s="6">
        <v>20</v>
      </c>
      <c r="R120" s="7">
        <v>76.5625</v>
      </c>
      <c r="S120" s="7">
        <v>87.878787878787875</v>
      </c>
      <c r="T120" s="7">
        <v>64.516129032258064</v>
      </c>
      <c r="U120" s="15">
        <f t="shared" si="5"/>
        <v>2</v>
      </c>
    </row>
    <row r="121" spans="1:21" ht="18.75" customHeight="1">
      <c r="A121" s="16">
        <v>123</v>
      </c>
      <c r="B121" s="3">
        <v>60</v>
      </c>
      <c r="C121" s="4" t="s">
        <v>141</v>
      </c>
      <c r="D121" s="9" t="s">
        <v>441</v>
      </c>
      <c r="E121" s="5" t="s">
        <v>82</v>
      </c>
      <c r="F121" s="6">
        <v>744</v>
      </c>
      <c r="G121" s="6">
        <v>3345</v>
      </c>
      <c r="H121" s="6">
        <v>1780</v>
      </c>
      <c r="I121" s="6">
        <v>1565</v>
      </c>
      <c r="J121" s="17">
        <f t="shared" si="3"/>
        <v>879.21348314606735</v>
      </c>
      <c r="K121" s="6">
        <v>754</v>
      </c>
      <c r="L121" s="6">
        <v>404</v>
      </c>
      <c r="M121" s="6">
        <v>350</v>
      </c>
      <c r="N121" s="7">
        <f t="shared" si="4"/>
        <v>22.541106128550076</v>
      </c>
      <c r="O121" s="6">
        <v>2212</v>
      </c>
      <c r="P121" s="6">
        <v>1302</v>
      </c>
      <c r="Q121" s="6">
        <v>910</v>
      </c>
      <c r="R121" s="7">
        <v>76.513317191283292</v>
      </c>
      <c r="S121" s="7">
        <v>84.108527131782949</v>
      </c>
      <c r="T121" s="7">
        <v>67.758749069247955</v>
      </c>
      <c r="U121" s="15">
        <f t="shared" si="5"/>
        <v>2</v>
      </c>
    </row>
    <row r="122" spans="1:21" ht="18.75" customHeight="1">
      <c r="A122" s="16">
        <v>124</v>
      </c>
      <c r="B122" s="3">
        <v>61</v>
      </c>
      <c r="C122" s="4" t="s">
        <v>142</v>
      </c>
      <c r="D122" s="9" t="s">
        <v>441</v>
      </c>
      <c r="E122" s="5" t="s">
        <v>82</v>
      </c>
      <c r="F122" s="6">
        <v>222</v>
      </c>
      <c r="G122" s="6">
        <v>1084</v>
      </c>
      <c r="H122" s="6">
        <v>591</v>
      </c>
      <c r="I122" s="6">
        <v>493</v>
      </c>
      <c r="J122" s="17">
        <f t="shared" si="3"/>
        <v>834.17935702199668</v>
      </c>
      <c r="K122" s="6">
        <v>70</v>
      </c>
      <c r="L122" s="6">
        <v>39</v>
      </c>
      <c r="M122" s="6">
        <v>31</v>
      </c>
      <c r="N122" s="7">
        <f t="shared" si="4"/>
        <v>6.4575645756457565</v>
      </c>
      <c r="O122" s="6">
        <v>697</v>
      </c>
      <c r="P122" s="6">
        <v>409</v>
      </c>
      <c r="Q122" s="6">
        <v>288</v>
      </c>
      <c r="R122" s="7">
        <v>72.67987486965589</v>
      </c>
      <c r="S122" s="7">
        <v>78.95752895752895</v>
      </c>
      <c r="T122" s="7">
        <v>65.306122448979593</v>
      </c>
      <c r="U122" s="15">
        <f t="shared" si="5"/>
        <v>2</v>
      </c>
    </row>
    <row r="123" spans="1:21" ht="18.75" customHeight="1">
      <c r="A123" s="16">
        <v>125</v>
      </c>
      <c r="B123" s="3">
        <v>62</v>
      </c>
      <c r="C123" s="4" t="s">
        <v>143</v>
      </c>
      <c r="D123" s="9" t="s">
        <v>441</v>
      </c>
      <c r="E123" s="5" t="s">
        <v>82</v>
      </c>
      <c r="F123" s="6">
        <v>116</v>
      </c>
      <c r="G123" s="6">
        <v>561</v>
      </c>
      <c r="H123" s="6">
        <v>299</v>
      </c>
      <c r="I123" s="6">
        <v>262</v>
      </c>
      <c r="J123" s="17">
        <f t="shared" si="3"/>
        <v>876.25418060200661</v>
      </c>
      <c r="K123" s="6">
        <v>195</v>
      </c>
      <c r="L123" s="6">
        <v>108</v>
      </c>
      <c r="M123" s="6">
        <v>87</v>
      </c>
      <c r="N123" s="7">
        <f t="shared" si="4"/>
        <v>34.759358288770052</v>
      </c>
      <c r="O123" s="6">
        <v>375</v>
      </c>
      <c r="P123" s="6">
        <v>210</v>
      </c>
      <c r="Q123" s="6">
        <v>165</v>
      </c>
      <c r="R123" s="7">
        <v>76.219512195121951</v>
      </c>
      <c r="S123" s="7">
        <v>80.769230769230774</v>
      </c>
      <c r="T123" s="7">
        <v>71.120689655172413</v>
      </c>
      <c r="U123" s="15">
        <f t="shared" si="5"/>
        <v>2</v>
      </c>
    </row>
    <row r="124" spans="1:21" ht="18.75" customHeight="1">
      <c r="A124" s="16">
        <v>126</v>
      </c>
      <c r="B124" s="3">
        <v>63</v>
      </c>
      <c r="C124" s="4" t="s">
        <v>144</v>
      </c>
      <c r="D124" s="9" t="s">
        <v>441</v>
      </c>
      <c r="E124" s="5" t="s">
        <v>82</v>
      </c>
      <c r="F124" s="6">
        <v>72</v>
      </c>
      <c r="G124" s="6">
        <v>423</v>
      </c>
      <c r="H124" s="6">
        <v>221</v>
      </c>
      <c r="I124" s="6">
        <v>202</v>
      </c>
      <c r="J124" s="17">
        <f t="shared" si="3"/>
        <v>914.02714932126696</v>
      </c>
      <c r="K124" s="6">
        <v>60</v>
      </c>
      <c r="L124" s="6">
        <v>33</v>
      </c>
      <c r="M124" s="6">
        <v>27</v>
      </c>
      <c r="N124" s="7">
        <f t="shared" si="4"/>
        <v>14.184397163120568</v>
      </c>
      <c r="O124" s="6">
        <v>280</v>
      </c>
      <c r="P124" s="6">
        <v>158</v>
      </c>
      <c r="Q124" s="6">
        <v>122</v>
      </c>
      <c r="R124" s="7">
        <v>76.294277929155314</v>
      </c>
      <c r="S124" s="7">
        <v>83.15789473684211</v>
      </c>
      <c r="T124" s="7">
        <v>68.926553672316388</v>
      </c>
      <c r="U124" s="15">
        <f t="shared" si="5"/>
        <v>1</v>
      </c>
    </row>
    <row r="125" spans="1:21" ht="18.75" customHeight="1">
      <c r="A125" s="16">
        <v>127</v>
      </c>
      <c r="B125" s="3">
        <v>64</v>
      </c>
      <c r="C125" s="4" t="s">
        <v>145</v>
      </c>
      <c r="D125" s="9" t="s">
        <v>441</v>
      </c>
      <c r="E125" s="5" t="s">
        <v>82</v>
      </c>
      <c r="F125" s="6">
        <v>114</v>
      </c>
      <c r="G125" s="6">
        <v>562</v>
      </c>
      <c r="H125" s="6">
        <v>308</v>
      </c>
      <c r="I125" s="6">
        <v>254</v>
      </c>
      <c r="J125" s="17">
        <f t="shared" si="3"/>
        <v>824.67532467532465</v>
      </c>
      <c r="K125" s="6">
        <v>130</v>
      </c>
      <c r="L125" s="6">
        <v>69</v>
      </c>
      <c r="M125" s="6">
        <v>61</v>
      </c>
      <c r="N125" s="7">
        <f t="shared" si="4"/>
        <v>23.131672597864767</v>
      </c>
      <c r="O125" s="6">
        <v>284</v>
      </c>
      <c r="P125" s="6">
        <v>169</v>
      </c>
      <c r="Q125" s="6">
        <v>115</v>
      </c>
      <c r="R125" s="7">
        <v>57.841140529531565</v>
      </c>
      <c r="S125" s="7">
        <v>63.533834586466163</v>
      </c>
      <c r="T125" s="7">
        <v>51.111111111111107</v>
      </c>
      <c r="U125" s="15">
        <f t="shared" si="5"/>
        <v>2</v>
      </c>
    </row>
    <row r="126" spans="1:21" ht="18.75" customHeight="1">
      <c r="A126" s="16">
        <v>128</v>
      </c>
      <c r="B126" s="3">
        <v>65</v>
      </c>
      <c r="C126" s="4" t="s">
        <v>146</v>
      </c>
      <c r="D126" s="9" t="s">
        <v>441</v>
      </c>
      <c r="E126" s="5" t="s">
        <v>82</v>
      </c>
      <c r="F126" s="6">
        <v>18</v>
      </c>
      <c r="G126" s="6">
        <v>99</v>
      </c>
      <c r="H126" s="6">
        <v>54</v>
      </c>
      <c r="I126" s="6">
        <v>45</v>
      </c>
      <c r="J126" s="17">
        <f t="shared" si="3"/>
        <v>833.33333333333337</v>
      </c>
      <c r="K126" s="6">
        <v>4</v>
      </c>
      <c r="L126" s="6">
        <v>3</v>
      </c>
      <c r="M126" s="6">
        <v>1</v>
      </c>
      <c r="N126" s="7">
        <f t="shared" si="4"/>
        <v>4.0404040404040407</v>
      </c>
      <c r="O126" s="6">
        <v>51</v>
      </c>
      <c r="P126" s="6">
        <v>33</v>
      </c>
      <c r="Q126" s="6">
        <v>18</v>
      </c>
      <c r="R126" s="7">
        <v>59.302325581395351</v>
      </c>
      <c r="S126" s="7">
        <v>71.739130434782609</v>
      </c>
      <c r="T126" s="7">
        <v>45</v>
      </c>
      <c r="U126" s="15">
        <f t="shared" si="5"/>
        <v>2</v>
      </c>
    </row>
    <row r="127" spans="1:21" ht="18.75" customHeight="1">
      <c r="A127" s="16">
        <v>129</v>
      </c>
      <c r="B127" s="3">
        <v>66</v>
      </c>
      <c r="C127" s="4" t="s">
        <v>147</v>
      </c>
      <c r="D127" s="9" t="s">
        <v>441</v>
      </c>
      <c r="E127" s="5" t="s">
        <v>82</v>
      </c>
      <c r="F127" s="6">
        <v>316</v>
      </c>
      <c r="G127" s="6">
        <v>1652</v>
      </c>
      <c r="H127" s="6">
        <v>857</v>
      </c>
      <c r="I127" s="6">
        <v>795</v>
      </c>
      <c r="J127" s="17">
        <f t="shared" ref="J127:J188" si="6">I127/H127*1000</f>
        <v>927.65460910151683</v>
      </c>
      <c r="K127" s="6">
        <v>786</v>
      </c>
      <c r="L127" s="6">
        <v>422</v>
      </c>
      <c r="M127" s="6">
        <v>364</v>
      </c>
      <c r="N127" s="7">
        <f t="shared" ref="N127:N188" si="7">K127/G127*100</f>
        <v>47.578692493946733</v>
      </c>
      <c r="O127" s="6">
        <v>1140</v>
      </c>
      <c r="P127" s="6">
        <v>661</v>
      </c>
      <c r="Q127" s="6">
        <v>479</v>
      </c>
      <c r="R127" s="7">
        <v>78.620689655172413</v>
      </c>
      <c r="S127" s="7">
        <v>87.318361955085862</v>
      </c>
      <c r="T127" s="7">
        <v>69.119769119769117</v>
      </c>
      <c r="U127" s="15">
        <f t="shared" si="5"/>
        <v>1</v>
      </c>
    </row>
    <row r="128" spans="1:21" ht="18.75" customHeight="1">
      <c r="A128" s="16">
        <v>130</v>
      </c>
      <c r="B128" s="3">
        <v>67</v>
      </c>
      <c r="C128" s="4" t="s">
        <v>148</v>
      </c>
      <c r="D128" s="9" t="s">
        <v>441</v>
      </c>
      <c r="E128" s="5" t="s">
        <v>82</v>
      </c>
      <c r="F128" s="6">
        <v>72</v>
      </c>
      <c r="G128" s="6">
        <v>370</v>
      </c>
      <c r="H128" s="6">
        <v>192</v>
      </c>
      <c r="I128" s="6">
        <v>178</v>
      </c>
      <c r="J128" s="17">
        <f t="shared" si="6"/>
        <v>927.08333333333337</v>
      </c>
      <c r="K128" s="6">
        <v>23</v>
      </c>
      <c r="L128" s="6">
        <v>13</v>
      </c>
      <c r="M128" s="6">
        <v>10</v>
      </c>
      <c r="N128" s="7">
        <f t="shared" si="7"/>
        <v>6.2162162162162167</v>
      </c>
      <c r="O128" s="6">
        <v>199</v>
      </c>
      <c r="P128" s="6">
        <v>121</v>
      </c>
      <c r="Q128" s="6">
        <v>78</v>
      </c>
      <c r="R128" s="7">
        <v>63.375796178343947</v>
      </c>
      <c r="S128" s="7">
        <v>72.023809523809518</v>
      </c>
      <c r="T128" s="7">
        <v>53.424657534246577</v>
      </c>
      <c r="U128" s="15">
        <f t="shared" ref="U128:U189" si="8">IF($J128&gt;900,1,IF($J128&gt;800,2,IF($J128&gt;700,3,0)))</f>
        <v>1</v>
      </c>
    </row>
    <row r="129" spans="1:21" ht="18.75" customHeight="1">
      <c r="A129" s="16">
        <v>131</v>
      </c>
      <c r="B129" s="3">
        <v>68</v>
      </c>
      <c r="C129" s="4" t="s">
        <v>149</v>
      </c>
      <c r="D129" s="9" t="s">
        <v>441</v>
      </c>
      <c r="E129" s="5" t="s">
        <v>82</v>
      </c>
      <c r="F129" s="6">
        <v>538</v>
      </c>
      <c r="G129" s="6">
        <v>2762</v>
      </c>
      <c r="H129" s="6">
        <v>1472</v>
      </c>
      <c r="I129" s="6">
        <v>1290</v>
      </c>
      <c r="J129" s="17">
        <f t="shared" si="6"/>
        <v>876.35869565217399</v>
      </c>
      <c r="K129" s="6">
        <v>715</v>
      </c>
      <c r="L129" s="6">
        <v>387</v>
      </c>
      <c r="M129" s="6">
        <v>328</v>
      </c>
      <c r="N129" s="7">
        <f t="shared" si="7"/>
        <v>25.887038377986965</v>
      </c>
      <c r="O129" s="6">
        <v>1847</v>
      </c>
      <c r="P129" s="6">
        <v>1105</v>
      </c>
      <c r="Q129" s="6">
        <v>742</v>
      </c>
      <c r="R129" s="7">
        <v>75.852156057494867</v>
      </c>
      <c r="S129" s="7">
        <v>85.526315789473685</v>
      </c>
      <c r="T129" s="7">
        <v>64.916885389326325</v>
      </c>
      <c r="U129" s="15">
        <f t="shared" si="8"/>
        <v>2</v>
      </c>
    </row>
    <row r="130" spans="1:21" ht="18.75" customHeight="1">
      <c r="A130" s="16">
        <v>132</v>
      </c>
      <c r="B130" s="3">
        <v>69</v>
      </c>
      <c r="C130" s="4" t="s">
        <v>150</v>
      </c>
      <c r="D130" s="9" t="s">
        <v>441</v>
      </c>
      <c r="E130" s="5" t="s">
        <v>82</v>
      </c>
      <c r="F130" s="6">
        <v>120</v>
      </c>
      <c r="G130" s="6">
        <v>663</v>
      </c>
      <c r="H130" s="6">
        <v>336</v>
      </c>
      <c r="I130" s="6">
        <v>327</v>
      </c>
      <c r="J130" s="17">
        <f t="shared" si="6"/>
        <v>973.21428571428567</v>
      </c>
      <c r="K130" s="6">
        <v>297</v>
      </c>
      <c r="L130" s="6">
        <v>149</v>
      </c>
      <c r="M130" s="6">
        <v>148</v>
      </c>
      <c r="N130" s="7">
        <f t="shared" si="7"/>
        <v>44.796380090497742</v>
      </c>
      <c r="O130" s="6">
        <v>499</v>
      </c>
      <c r="P130" s="6">
        <v>275</v>
      </c>
      <c r="Q130" s="6">
        <v>224</v>
      </c>
      <c r="R130" s="7">
        <v>83.724832214765101</v>
      </c>
      <c r="S130" s="7">
        <v>88.996763754045304</v>
      </c>
      <c r="T130" s="7">
        <v>78.048780487804876</v>
      </c>
      <c r="U130" s="15">
        <f t="shared" si="8"/>
        <v>1</v>
      </c>
    </row>
    <row r="131" spans="1:21" ht="18.75" customHeight="1">
      <c r="A131" s="16">
        <v>133</v>
      </c>
      <c r="B131" s="3">
        <v>70</v>
      </c>
      <c r="C131" s="4" t="s">
        <v>151</v>
      </c>
      <c r="D131" s="9" t="s">
        <v>441</v>
      </c>
      <c r="E131" s="5" t="s">
        <v>82</v>
      </c>
      <c r="F131" s="6">
        <v>91</v>
      </c>
      <c r="G131" s="6">
        <v>438</v>
      </c>
      <c r="H131" s="6">
        <v>234</v>
      </c>
      <c r="I131" s="6">
        <v>204</v>
      </c>
      <c r="J131" s="17">
        <f t="shared" si="6"/>
        <v>871.79487179487182</v>
      </c>
      <c r="K131" s="6">
        <v>82</v>
      </c>
      <c r="L131" s="6">
        <v>45</v>
      </c>
      <c r="M131" s="6">
        <v>37</v>
      </c>
      <c r="N131" s="7">
        <f t="shared" si="7"/>
        <v>18.721461187214611</v>
      </c>
      <c r="O131" s="6">
        <v>322</v>
      </c>
      <c r="P131" s="6">
        <v>189</v>
      </c>
      <c r="Q131" s="6">
        <v>133</v>
      </c>
      <c r="R131" s="7">
        <v>80.701754385964904</v>
      </c>
      <c r="S131" s="7">
        <v>87.096774193548384</v>
      </c>
      <c r="T131" s="7">
        <v>73.076923076923066</v>
      </c>
      <c r="U131" s="15">
        <f t="shared" si="8"/>
        <v>2</v>
      </c>
    </row>
    <row r="132" spans="1:21" ht="18.75" customHeight="1">
      <c r="A132" s="16">
        <v>134</v>
      </c>
      <c r="B132" s="3">
        <v>71</v>
      </c>
      <c r="C132" s="4" t="s">
        <v>152</v>
      </c>
      <c r="D132" s="9" t="s">
        <v>441</v>
      </c>
      <c r="E132" s="5" t="s">
        <v>82</v>
      </c>
      <c r="F132" s="6">
        <v>25</v>
      </c>
      <c r="G132" s="6">
        <v>115</v>
      </c>
      <c r="H132" s="6">
        <v>63</v>
      </c>
      <c r="I132" s="6">
        <v>52</v>
      </c>
      <c r="J132" s="17">
        <f t="shared" si="6"/>
        <v>825.39682539682531</v>
      </c>
      <c r="K132" s="6">
        <v>0</v>
      </c>
      <c r="L132" s="6">
        <v>0</v>
      </c>
      <c r="M132" s="6">
        <v>0</v>
      </c>
      <c r="N132" s="7">
        <f t="shared" si="7"/>
        <v>0</v>
      </c>
      <c r="O132" s="6">
        <v>86</v>
      </c>
      <c r="P132" s="6">
        <v>49</v>
      </c>
      <c r="Q132" s="6">
        <v>37</v>
      </c>
      <c r="R132" s="7">
        <v>84.313725490196077</v>
      </c>
      <c r="S132" s="7">
        <v>90.740740740740748</v>
      </c>
      <c r="T132" s="7">
        <v>77.083333333333343</v>
      </c>
      <c r="U132" s="15">
        <f t="shared" si="8"/>
        <v>2</v>
      </c>
    </row>
    <row r="133" spans="1:21" ht="18.75" customHeight="1">
      <c r="A133" s="16">
        <v>135</v>
      </c>
      <c r="B133" s="3">
        <v>72</v>
      </c>
      <c r="C133" s="4" t="s">
        <v>153</v>
      </c>
      <c r="D133" s="9" t="s">
        <v>441</v>
      </c>
      <c r="E133" s="5" t="s">
        <v>82</v>
      </c>
      <c r="F133" s="6">
        <v>349</v>
      </c>
      <c r="G133" s="6">
        <v>1830</v>
      </c>
      <c r="H133" s="6">
        <v>985</v>
      </c>
      <c r="I133" s="6">
        <v>845</v>
      </c>
      <c r="J133" s="17">
        <f t="shared" si="6"/>
        <v>857.86802030456852</v>
      </c>
      <c r="K133" s="6">
        <v>885</v>
      </c>
      <c r="L133" s="6">
        <v>480</v>
      </c>
      <c r="M133" s="6">
        <v>405</v>
      </c>
      <c r="N133" s="7">
        <f t="shared" si="7"/>
        <v>48.360655737704917</v>
      </c>
      <c r="O133" s="6">
        <v>1320</v>
      </c>
      <c r="P133" s="6">
        <v>784</v>
      </c>
      <c r="Q133" s="6">
        <v>536</v>
      </c>
      <c r="R133" s="7">
        <v>81.03130755064457</v>
      </c>
      <c r="S133" s="7">
        <v>90.011481056257182</v>
      </c>
      <c r="T133" s="7">
        <v>70.712401055408975</v>
      </c>
      <c r="U133" s="15">
        <f t="shared" si="8"/>
        <v>2</v>
      </c>
    </row>
    <row r="134" spans="1:21" ht="18.75" customHeight="1">
      <c r="A134" s="16">
        <v>136</v>
      </c>
      <c r="B134" s="3">
        <v>73</v>
      </c>
      <c r="C134" s="4" t="s">
        <v>154</v>
      </c>
      <c r="D134" s="9" t="s">
        <v>441</v>
      </c>
      <c r="E134" s="5" t="s">
        <v>82</v>
      </c>
      <c r="F134" s="6">
        <v>214</v>
      </c>
      <c r="G134" s="6">
        <v>1090</v>
      </c>
      <c r="H134" s="6">
        <v>584</v>
      </c>
      <c r="I134" s="6">
        <v>506</v>
      </c>
      <c r="J134" s="17">
        <f t="shared" si="6"/>
        <v>866.43835616438355</v>
      </c>
      <c r="K134" s="6">
        <v>698</v>
      </c>
      <c r="L134" s="6">
        <v>381</v>
      </c>
      <c r="M134" s="6">
        <v>317</v>
      </c>
      <c r="N134" s="7">
        <f t="shared" si="7"/>
        <v>64.036697247706414</v>
      </c>
      <c r="O134" s="6">
        <v>617</v>
      </c>
      <c r="P134" s="6">
        <v>377</v>
      </c>
      <c r="Q134" s="6">
        <v>240</v>
      </c>
      <c r="R134" s="7">
        <v>66.63066954643628</v>
      </c>
      <c r="S134" s="7">
        <v>77.412731006160158</v>
      </c>
      <c r="T134" s="7">
        <v>54.66970387243736</v>
      </c>
      <c r="U134" s="15">
        <f t="shared" si="8"/>
        <v>2</v>
      </c>
    </row>
    <row r="135" spans="1:21" ht="18.75" customHeight="1">
      <c r="A135" s="16">
        <v>137</v>
      </c>
      <c r="B135" s="3">
        <v>74</v>
      </c>
      <c r="C135" s="4" t="s">
        <v>155</v>
      </c>
      <c r="D135" s="9" t="s">
        <v>441</v>
      </c>
      <c r="E135" s="5" t="s">
        <v>82</v>
      </c>
      <c r="F135" s="6">
        <v>435</v>
      </c>
      <c r="G135" s="6">
        <v>2579</v>
      </c>
      <c r="H135" s="6">
        <v>1377</v>
      </c>
      <c r="I135" s="6">
        <v>1202</v>
      </c>
      <c r="J135" s="17">
        <f t="shared" si="6"/>
        <v>872.91212781408854</v>
      </c>
      <c r="K135" s="6">
        <v>501</v>
      </c>
      <c r="L135" s="6">
        <v>279</v>
      </c>
      <c r="M135" s="6">
        <v>222</v>
      </c>
      <c r="N135" s="7">
        <f t="shared" si="7"/>
        <v>19.426134160527337</v>
      </c>
      <c r="O135" s="6">
        <v>1744</v>
      </c>
      <c r="P135" s="6">
        <v>1013</v>
      </c>
      <c r="Q135" s="6">
        <v>731</v>
      </c>
      <c r="R135" s="7">
        <v>76.659340659340657</v>
      </c>
      <c r="S135" s="7">
        <v>83.305921052631575</v>
      </c>
      <c r="T135" s="7">
        <v>69.027384324834756</v>
      </c>
      <c r="U135" s="15">
        <f t="shared" si="8"/>
        <v>2</v>
      </c>
    </row>
    <row r="136" spans="1:21" ht="18.75" customHeight="1">
      <c r="A136" s="16">
        <v>138</v>
      </c>
      <c r="B136" s="3">
        <v>75</v>
      </c>
      <c r="C136" s="4" t="s">
        <v>156</v>
      </c>
      <c r="D136" s="9" t="s">
        <v>441</v>
      </c>
      <c r="E136" s="5" t="s">
        <v>82</v>
      </c>
      <c r="F136" s="6">
        <v>190</v>
      </c>
      <c r="G136" s="6">
        <v>1069</v>
      </c>
      <c r="H136" s="6">
        <v>560</v>
      </c>
      <c r="I136" s="6">
        <v>509</v>
      </c>
      <c r="J136" s="17">
        <f t="shared" si="6"/>
        <v>908.92857142857144</v>
      </c>
      <c r="K136" s="6">
        <v>274</v>
      </c>
      <c r="L136" s="6">
        <v>147</v>
      </c>
      <c r="M136" s="6">
        <v>127</v>
      </c>
      <c r="N136" s="7">
        <f t="shared" si="7"/>
        <v>25.631431244153411</v>
      </c>
      <c r="O136" s="6">
        <v>733</v>
      </c>
      <c r="P136" s="6">
        <v>416</v>
      </c>
      <c r="Q136" s="6">
        <v>317</v>
      </c>
      <c r="R136" s="7">
        <v>76.354166666666671</v>
      </c>
      <c r="S136" s="7">
        <v>83.702213279678077</v>
      </c>
      <c r="T136" s="7">
        <v>68.466522678185754</v>
      </c>
      <c r="U136" s="15">
        <f t="shared" si="8"/>
        <v>1</v>
      </c>
    </row>
    <row r="137" spans="1:21" ht="18.75" customHeight="1">
      <c r="A137" s="16">
        <v>139</v>
      </c>
      <c r="B137" s="3">
        <v>76</v>
      </c>
      <c r="C137" s="4" t="s">
        <v>157</v>
      </c>
      <c r="D137" s="9" t="s">
        <v>441</v>
      </c>
      <c r="E137" s="5" t="s">
        <v>82</v>
      </c>
      <c r="F137" s="6">
        <v>187</v>
      </c>
      <c r="G137" s="6">
        <v>1090</v>
      </c>
      <c r="H137" s="6">
        <v>590</v>
      </c>
      <c r="I137" s="6">
        <v>500</v>
      </c>
      <c r="J137" s="17">
        <f t="shared" si="6"/>
        <v>847.45762711864404</v>
      </c>
      <c r="K137" s="6">
        <v>262</v>
      </c>
      <c r="L137" s="6">
        <v>136</v>
      </c>
      <c r="M137" s="6">
        <v>126</v>
      </c>
      <c r="N137" s="7">
        <f t="shared" si="7"/>
        <v>24.036697247706424</v>
      </c>
      <c r="O137" s="6">
        <v>766</v>
      </c>
      <c r="P137" s="6">
        <v>462</v>
      </c>
      <c r="Q137" s="6">
        <v>304</v>
      </c>
      <c r="R137" s="7">
        <v>78.323108384458067</v>
      </c>
      <c r="S137" s="7">
        <v>88</v>
      </c>
      <c r="T137" s="7">
        <v>67.108167770419428</v>
      </c>
      <c r="U137" s="15">
        <f t="shared" si="8"/>
        <v>2</v>
      </c>
    </row>
    <row r="138" spans="1:21" ht="18.75" customHeight="1">
      <c r="A138" s="16">
        <v>140</v>
      </c>
      <c r="B138" s="3">
        <v>77</v>
      </c>
      <c r="C138" s="4" t="s">
        <v>158</v>
      </c>
      <c r="D138" s="9" t="s">
        <v>441</v>
      </c>
      <c r="E138" s="5" t="s">
        <v>82</v>
      </c>
      <c r="F138" s="6">
        <v>44</v>
      </c>
      <c r="G138" s="6">
        <v>230</v>
      </c>
      <c r="H138" s="6">
        <v>120</v>
      </c>
      <c r="I138" s="6">
        <v>110</v>
      </c>
      <c r="J138" s="17">
        <f t="shared" si="6"/>
        <v>916.66666666666663</v>
      </c>
      <c r="K138" s="6">
        <v>3</v>
      </c>
      <c r="L138" s="6">
        <v>1</v>
      </c>
      <c r="M138" s="6">
        <v>2</v>
      </c>
      <c r="N138" s="7">
        <f t="shared" si="7"/>
        <v>1.3043478260869565</v>
      </c>
      <c r="O138" s="6">
        <v>139</v>
      </c>
      <c r="P138" s="6">
        <v>75</v>
      </c>
      <c r="Q138" s="6">
        <v>64</v>
      </c>
      <c r="R138" s="7">
        <v>68.472906403940897</v>
      </c>
      <c r="S138" s="7">
        <v>75.757575757575751</v>
      </c>
      <c r="T138" s="7">
        <v>61.53846153846154</v>
      </c>
      <c r="U138" s="15">
        <f t="shared" si="8"/>
        <v>1</v>
      </c>
    </row>
    <row r="139" spans="1:21" ht="18.75" customHeight="1">
      <c r="A139" s="16">
        <v>141</v>
      </c>
      <c r="B139" s="3">
        <v>78</v>
      </c>
      <c r="C139" s="4" t="s">
        <v>159</v>
      </c>
      <c r="D139" s="9" t="s">
        <v>441</v>
      </c>
      <c r="E139" s="5" t="s">
        <v>82</v>
      </c>
      <c r="F139" s="6">
        <v>555</v>
      </c>
      <c r="G139" s="6">
        <v>3134</v>
      </c>
      <c r="H139" s="6">
        <v>1647</v>
      </c>
      <c r="I139" s="6">
        <v>1487</v>
      </c>
      <c r="J139" s="17">
        <f t="shared" si="6"/>
        <v>902.85367334547664</v>
      </c>
      <c r="K139" s="6">
        <v>645</v>
      </c>
      <c r="L139" s="6">
        <v>331</v>
      </c>
      <c r="M139" s="6">
        <v>314</v>
      </c>
      <c r="N139" s="7">
        <f t="shared" si="7"/>
        <v>20.580727504786218</v>
      </c>
      <c r="O139" s="6">
        <v>2121</v>
      </c>
      <c r="P139" s="6">
        <v>1179</v>
      </c>
      <c r="Q139" s="6">
        <v>942</v>
      </c>
      <c r="R139" s="7">
        <v>76.736613603473231</v>
      </c>
      <c r="S139" s="7">
        <v>82.389937106918239</v>
      </c>
      <c r="T139" s="7">
        <v>70.667666916729175</v>
      </c>
      <c r="U139" s="15">
        <f t="shared" si="8"/>
        <v>1</v>
      </c>
    </row>
    <row r="140" spans="1:21" ht="18.75" customHeight="1">
      <c r="A140" s="16">
        <v>142</v>
      </c>
      <c r="B140" s="3">
        <v>79</v>
      </c>
      <c r="C140" s="4" t="s">
        <v>160</v>
      </c>
      <c r="D140" s="9" t="s">
        <v>441</v>
      </c>
      <c r="E140" s="5" t="s">
        <v>82</v>
      </c>
      <c r="F140" s="6">
        <v>208</v>
      </c>
      <c r="G140" s="6">
        <v>996</v>
      </c>
      <c r="H140" s="6">
        <v>516</v>
      </c>
      <c r="I140" s="6">
        <v>480</v>
      </c>
      <c r="J140" s="17">
        <f t="shared" si="6"/>
        <v>930.23255813953483</v>
      </c>
      <c r="K140" s="6">
        <v>193</v>
      </c>
      <c r="L140" s="6">
        <v>97</v>
      </c>
      <c r="M140" s="6">
        <v>96</v>
      </c>
      <c r="N140" s="7">
        <f t="shared" si="7"/>
        <v>19.377510040160644</v>
      </c>
      <c r="O140" s="6">
        <v>670</v>
      </c>
      <c r="P140" s="6">
        <v>382</v>
      </c>
      <c r="Q140" s="6">
        <v>288</v>
      </c>
      <c r="R140" s="7">
        <v>77.188940092165907</v>
      </c>
      <c r="S140" s="7">
        <v>84.513274336283189</v>
      </c>
      <c r="T140" s="7">
        <v>69.230769230769226</v>
      </c>
      <c r="U140" s="15">
        <f t="shared" si="8"/>
        <v>1</v>
      </c>
    </row>
    <row r="141" spans="1:21" ht="18.75" customHeight="1">
      <c r="A141" s="16">
        <v>143</v>
      </c>
      <c r="B141" s="3">
        <v>80</v>
      </c>
      <c r="C141" s="4" t="s">
        <v>161</v>
      </c>
      <c r="D141" s="9" t="s">
        <v>441</v>
      </c>
      <c r="E141" s="5" t="s">
        <v>82</v>
      </c>
      <c r="F141" s="6">
        <v>653</v>
      </c>
      <c r="G141" s="6">
        <v>3539</v>
      </c>
      <c r="H141" s="6">
        <v>1882</v>
      </c>
      <c r="I141" s="6">
        <v>1657</v>
      </c>
      <c r="J141" s="17">
        <f t="shared" si="6"/>
        <v>880.44633368756638</v>
      </c>
      <c r="K141" s="6">
        <v>630</v>
      </c>
      <c r="L141" s="6">
        <v>334</v>
      </c>
      <c r="M141" s="6">
        <v>296</v>
      </c>
      <c r="N141" s="7">
        <f t="shared" si="7"/>
        <v>17.801638881039842</v>
      </c>
      <c r="O141" s="6">
        <v>2169</v>
      </c>
      <c r="P141" s="6">
        <v>1234</v>
      </c>
      <c r="Q141" s="6">
        <v>935</v>
      </c>
      <c r="R141" s="7">
        <v>70.171465545131028</v>
      </c>
      <c r="S141" s="7">
        <v>76.503409795412281</v>
      </c>
      <c r="T141" s="7">
        <v>63.26116373477673</v>
      </c>
      <c r="U141" s="15">
        <f t="shared" si="8"/>
        <v>2</v>
      </c>
    </row>
    <row r="142" spans="1:21" ht="18.75" customHeight="1">
      <c r="A142" s="16">
        <v>144</v>
      </c>
      <c r="B142" s="3">
        <v>81</v>
      </c>
      <c r="C142" s="4" t="s">
        <v>162</v>
      </c>
      <c r="D142" s="9" t="s">
        <v>441</v>
      </c>
      <c r="E142" s="5" t="s">
        <v>82</v>
      </c>
      <c r="F142" s="6">
        <v>242</v>
      </c>
      <c r="G142" s="6">
        <v>1264</v>
      </c>
      <c r="H142" s="6">
        <v>660</v>
      </c>
      <c r="I142" s="6">
        <v>604</v>
      </c>
      <c r="J142" s="17">
        <f t="shared" si="6"/>
        <v>915.15151515151513</v>
      </c>
      <c r="K142" s="6">
        <v>529</v>
      </c>
      <c r="L142" s="6">
        <v>271</v>
      </c>
      <c r="M142" s="6">
        <v>258</v>
      </c>
      <c r="N142" s="7">
        <f t="shared" si="7"/>
        <v>41.851265822784811</v>
      </c>
      <c r="O142" s="6">
        <v>804</v>
      </c>
      <c r="P142" s="6">
        <v>469</v>
      </c>
      <c r="Q142" s="6">
        <v>335</v>
      </c>
      <c r="R142" s="7">
        <v>73.157415832575069</v>
      </c>
      <c r="S142" s="7">
        <v>81.993006993006986</v>
      </c>
      <c r="T142" s="7">
        <v>63.5673624288425</v>
      </c>
      <c r="U142" s="15">
        <f t="shared" si="8"/>
        <v>1</v>
      </c>
    </row>
    <row r="143" spans="1:21" ht="18.75" customHeight="1">
      <c r="A143" s="16">
        <v>145</v>
      </c>
      <c r="B143" s="3">
        <v>82</v>
      </c>
      <c r="C143" s="4" t="s">
        <v>163</v>
      </c>
      <c r="D143" s="9" t="s">
        <v>441</v>
      </c>
      <c r="E143" s="5" t="s">
        <v>82</v>
      </c>
      <c r="F143" s="6">
        <v>739</v>
      </c>
      <c r="G143" s="6">
        <v>3954</v>
      </c>
      <c r="H143" s="6">
        <v>2074</v>
      </c>
      <c r="I143" s="6">
        <v>1880</v>
      </c>
      <c r="J143" s="17">
        <f t="shared" si="6"/>
        <v>906.46094503375116</v>
      </c>
      <c r="K143" s="6">
        <v>1227</v>
      </c>
      <c r="L143" s="6">
        <v>637</v>
      </c>
      <c r="M143" s="6">
        <v>590</v>
      </c>
      <c r="N143" s="7">
        <f t="shared" si="7"/>
        <v>31.031866464339906</v>
      </c>
      <c r="O143" s="6">
        <v>2767</v>
      </c>
      <c r="P143" s="6">
        <v>1618</v>
      </c>
      <c r="Q143" s="6">
        <v>1149</v>
      </c>
      <c r="R143" s="7">
        <v>78.00958556526642</v>
      </c>
      <c r="S143" s="7">
        <v>87.791644058600099</v>
      </c>
      <c r="T143" s="7">
        <v>67.429577464788736</v>
      </c>
      <c r="U143" s="15">
        <f t="shared" si="8"/>
        <v>1</v>
      </c>
    </row>
    <row r="144" spans="1:21" ht="18.75" customHeight="1">
      <c r="A144" s="16">
        <v>146</v>
      </c>
      <c r="B144" s="3">
        <v>83</v>
      </c>
      <c r="C144" s="4" t="s">
        <v>164</v>
      </c>
      <c r="D144" s="9" t="s">
        <v>441</v>
      </c>
      <c r="E144" s="5" t="s">
        <v>82</v>
      </c>
      <c r="F144" s="6">
        <v>251</v>
      </c>
      <c r="G144" s="6">
        <v>1257</v>
      </c>
      <c r="H144" s="6">
        <v>672</v>
      </c>
      <c r="I144" s="6">
        <v>585</v>
      </c>
      <c r="J144" s="17">
        <f t="shared" si="6"/>
        <v>870.53571428571433</v>
      </c>
      <c r="K144" s="6">
        <v>617</v>
      </c>
      <c r="L144" s="6">
        <v>328</v>
      </c>
      <c r="M144" s="6">
        <v>289</v>
      </c>
      <c r="N144" s="7">
        <f t="shared" si="7"/>
        <v>49.085123309466979</v>
      </c>
      <c r="O144" s="6">
        <v>872</v>
      </c>
      <c r="P144" s="6">
        <v>490</v>
      </c>
      <c r="Q144" s="6">
        <v>382</v>
      </c>
      <c r="R144" s="7">
        <v>77.787689562890279</v>
      </c>
      <c r="S144" s="7">
        <v>82.491582491582491</v>
      </c>
      <c r="T144" s="7">
        <v>72.485768500948765</v>
      </c>
      <c r="U144" s="15">
        <f t="shared" si="8"/>
        <v>2</v>
      </c>
    </row>
    <row r="145" spans="1:21" ht="18.75" customHeight="1">
      <c r="A145" s="16">
        <v>147</v>
      </c>
      <c r="B145" s="3">
        <v>84</v>
      </c>
      <c r="C145" s="4" t="s">
        <v>165</v>
      </c>
      <c r="D145" s="9" t="s">
        <v>441</v>
      </c>
      <c r="E145" s="5" t="s">
        <v>82</v>
      </c>
      <c r="F145" s="6">
        <v>293</v>
      </c>
      <c r="G145" s="6">
        <v>1484</v>
      </c>
      <c r="H145" s="6">
        <v>802</v>
      </c>
      <c r="I145" s="6">
        <v>682</v>
      </c>
      <c r="J145" s="17">
        <f t="shared" si="6"/>
        <v>850.37406483790528</v>
      </c>
      <c r="K145" s="6">
        <v>365</v>
      </c>
      <c r="L145" s="6">
        <v>195</v>
      </c>
      <c r="M145" s="6">
        <v>170</v>
      </c>
      <c r="N145" s="7">
        <f t="shared" si="7"/>
        <v>24.595687331536389</v>
      </c>
      <c r="O145" s="6">
        <v>952</v>
      </c>
      <c r="P145" s="6">
        <v>567</v>
      </c>
      <c r="Q145" s="6">
        <v>385</v>
      </c>
      <c r="R145" s="7">
        <v>73.343605546995377</v>
      </c>
      <c r="S145" s="7">
        <v>83.137829912023463</v>
      </c>
      <c r="T145" s="7">
        <v>62.5</v>
      </c>
      <c r="U145" s="15">
        <f t="shared" si="8"/>
        <v>2</v>
      </c>
    </row>
    <row r="146" spans="1:21" ht="18.75" customHeight="1">
      <c r="A146" s="16">
        <v>148</v>
      </c>
      <c r="B146" s="3">
        <v>1</v>
      </c>
      <c r="C146" s="4" t="s">
        <v>166</v>
      </c>
      <c r="D146" s="9" t="s">
        <v>441</v>
      </c>
      <c r="E146" s="5" t="s">
        <v>167</v>
      </c>
      <c r="F146" s="6">
        <v>363</v>
      </c>
      <c r="G146" s="6">
        <v>1892</v>
      </c>
      <c r="H146" s="6">
        <v>998</v>
      </c>
      <c r="I146" s="6">
        <v>894</v>
      </c>
      <c r="J146" s="17">
        <f t="shared" si="6"/>
        <v>895.79158316633266</v>
      </c>
      <c r="K146" s="6">
        <v>285</v>
      </c>
      <c r="L146" s="6">
        <v>155</v>
      </c>
      <c r="M146" s="6">
        <v>130</v>
      </c>
      <c r="N146" s="7">
        <f t="shared" si="7"/>
        <v>15.063424947145879</v>
      </c>
      <c r="O146" s="6">
        <v>869</v>
      </c>
      <c r="P146" s="6">
        <v>534</v>
      </c>
      <c r="Q146" s="6">
        <v>335</v>
      </c>
      <c r="R146" s="7">
        <v>54.380475594493113</v>
      </c>
      <c r="S146" s="7">
        <v>63.799283154121866</v>
      </c>
      <c r="T146" s="7">
        <v>44.021024967148485</v>
      </c>
      <c r="U146" s="15">
        <f t="shared" si="8"/>
        <v>2</v>
      </c>
    </row>
    <row r="147" spans="1:21" ht="18.75" customHeight="1">
      <c r="A147" s="16">
        <v>149</v>
      </c>
      <c r="B147" s="3">
        <v>2</v>
      </c>
      <c r="C147" s="4" t="s">
        <v>168</v>
      </c>
      <c r="D147" s="9" t="s">
        <v>441</v>
      </c>
      <c r="E147" s="5" t="s">
        <v>167</v>
      </c>
      <c r="F147" s="6">
        <v>166</v>
      </c>
      <c r="G147" s="6">
        <v>1014</v>
      </c>
      <c r="H147" s="6">
        <v>536</v>
      </c>
      <c r="I147" s="6">
        <v>478</v>
      </c>
      <c r="J147" s="17">
        <f t="shared" si="6"/>
        <v>891.79104477611941</v>
      </c>
      <c r="K147" s="6">
        <v>193</v>
      </c>
      <c r="L147" s="6">
        <v>104</v>
      </c>
      <c r="M147" s="6">
        <v>89</v>
      </c>
      <c r="N147" s="7">
        <f t="shared" si="7"/>
        <v>19.03353057199211</v>
      </c>
      <c r="O147" s="6">
        <v>671</v>
      </c>
      <c r="P147" s="6">
        <v>382</v>
      </c>
      <c r="Q147" s="6">
        <v>289</v>
      </c>
      <c r="R147" s="7">
        <v>74.638487208008897</v>
      </c>
      <c r="S147" s="7">
        <v>82.150537634408607</v>
      </c>
      <c r="T147" s="7">
        <v>66.589861751152071</v>
      </c>
      <c r="U147" s="15">
        <f t="shared" si="8"/>
        <v>2</v>
      </c>
    </row>
    <row r="148" spans="1:21" ht="18.75" customHeight="1">
      <c r="A148" s="16">
        <v>150</v>
      </c>
      <c r="B148" s="3">
        <v>3</v>
      </c>
      <c r="C148" s="9" t="s">
        <v>169</v>
      </c>
      <c r="D148" s="9" t="s">
        <v>441</v>
      </c>
      <c r="E148" s="5" t="s">
        <v>167</v>
      </c>
      <c r="F148" s="6">
        <v>425</v>
      </c>
      <c r="G148" s="6">
        <v>2128</v>
      </c>
      <c r="H148" s="6">
        <v>1126</v>
      </c>
      <c r="I148" s="6">
        <v>1002</v>
      </c>
      <c r="J148" s="17">
        <f t="shared" si="6"/>
        <v>889.8756660746003</v>
      </c>
      <c r="K148" s="6">
        <v>483</v>
      </c>
      <c r="L148" s="6">
        <v>252</v>
      </c>
      <c r="M148" s="6">
        <v>231</v>
      </c>
      <c r="N148" s="7">
        <f t="shared" si="7"/>
        <v>22.697368421052634</v>
      </c>
      <c r="O148" s="6">
        <v>1360</v>
      </c>
      <c r="P148" s="6">
        <v>783</v>
      </c>
      <c r="Q148" s="6">
        <v>577</v>
      </c>
      <c r="R148" s="7">
        <v>73.118279569892479</v>
      </c>
      <c r="S148" s="7">
        <v>80.472764645426523</v>
      </c>
      <c r="T148" s="7">
        <v>65.050732807215326</v>
      </c>
      <c r="U148" s="15">
        <f t="shared" si="8"/>
        <v>2</v>
      </c>
    </row>
    <row r="149" spans="1:21" ht="18.75" customHeight="1">
      <c r="A149" s="16">
        <v>151</v>
      </c>
      <c r="B149" s="3">
        <v>4</v>
      </c>
      <c r="C149" s="4" t="s">
        <v>170</v>
      </c>
      <c r="D149" s="9" t="s">
        <v>441</v>
      </c>
      <c r="E149" s="5" t="s">
        <v>167</v>
      </c>
      <c r="F149" s="6">
        <v>679</v>
      </c>
      <c r="G149" s="6">
        <v>3723</v>
      </c>
      <c r="H149" s="6">
        <v>1962</v>
      </c>
      <c r="I149" s="6">
        <v>1761</v>
      </c>
      <c r="J149" s="17">
        <f t="shared" si="6"/>
        <v>897.55351681957188</v>
      </c>
      <c r="K149" s="6">
        <v>714</v>
      </c>
      <c r="L149" s="6">
        <v>382</v>
      </c>
      <c r="M149" s="6">
        <v>332</v>
      </c>
      <c r="N149" s="7">
        <f t="shared" si="7"/>
        <v>19.17808219178082</v>
      </c>
      <c r="O149" s="6">
        <v>2641</v>
      </c>
      <c r="P149" s="6">
        <v>1516</v>
      </c>
      <c r="Q149" s="6">
        <v>1125</v>
      </c>
      <c r="R149" s="7">
        <v>80.616605616605625</v>
      </c>
      <c r="S149" s="7">
        <v>88.448074679113191</v>
      </c>
      <c r="T149" s="7">
        <v>72.023047375160047</v>
      </c>
      <c r="U149" s="15">
        <f t="shared" si="8"/>
        <v>2</v>
      </c>
    </row>
    <row r="150" spans="1:21" ht="18.75" customHeight="1">
      <c r="A150" s="16">
        <v>152</v>
      </c>
      <c r="B150" s="3">
        <v>5</v>
      </c>
      <c r="C150" s="4" t="s">
        <v>171</v>
      </c>
      <c r="D150" s="9" t="s">
        <v>441</v>
      </c>
      <c r="E150" s="5" t="s">
        <v>167</v>
      </c>
      <c r="F150" s="6">
        <v>340</v>
      </c>
      <c r="G150" s="6">
        <v>1739</v>
      </c>
      <c r="H150" s="6">
        <v>916</v>
      </c>
      <c r="I150" s="6">
        <v>823</v>
      </c>
      <c r="J150" s="17">
        <f t="shared" si="6"/>
        <v>898.47161572052403</v>
      </c>
      <c r="K150" s="6">
        <v>87</v>
      </c>
      <c r="L150" s="6">
        <v>50</v>
      </c>
      <c r="M150" s="6">
        <v>37</v>
      </c>
      <c r="N150" s="7">
        <f t="shared" si="7"/>
        <v>5.0028752156411738</v>
      </c>
      <c r="O150" s="6">
        <v>856</v>
      </c>
      <c r="P150" s="6">
        <v>499</v>
      </c>
      <c r="Q150" s="6">
        <v>357</v>
      </c>
      <c r="R150" s="7">
        <v>58.03389830508474</v>
      </c>
      <c r="S150" s="7">
        <v>64.30412371134021</v>
      </c>
      <c r="T150" s="7">
        <v>51.072961373390555</v>
      </c>
      <c r="U150" s="15">
        <f t="shared" si="8"/>
        <v>2</v>
      </c>
    </row>
    <row r="151" spans="1:21" ht="18.75" customHeight="1">
      <c r="A151" s="16">
        <v>153</v>
      </c>
      <c r="B151" s="3">
        <v>6</v>
      </c>
      <c r="C151" s="4" t="s">
        <v>172</v>
      </c>
      <c r="D151" s="9" t="s">
        <v>441</v>
      </c>
      <c r="E151" s="5" t="s">
        <v>167</v>
      </c>
      <c r="F151" s="6">
        <v>434</v>
      </c>
      <c r="G151" s="6">
        <v>2206</v>
      </c>
      <c r="H151" s="6">
        <v>1174</v>
      </c>
      <c r="I151" s="6">
        <v>1032</v>
      </c>
      <c r="J151" s="17">
        <f t="shared" si="6"/>
        <v>879.04599659284497</v>
      </c>
      <c r="K151" s="6">
        <v>705</v>
      </c>
      <c r="L151" s="6">
        <v>366</v>
      </c>
      <c r="M151" s="6">
        <v>339</v>
      </c>
      <c r="N151" s="7">
        <f t="shared" si="7"/>
        <v>31.958295557570267</v>
      </c>
      <c r="O151" s="6">
        <v>1397</v>
      </c>
      <c r="P151" s="6">
        <v>822</v>
      </c>
      <c r="Q151" s="6">
        <v>575</v>
      </c>
      <c r="R151" s="7">
        <v>73.103087388801683</v>
      </c>
      <c r="S151" s="7">
        <v>81.22529644268775</v>
      </c>
      <c r="T151" s="7">
        <v>63.959955506117907</v>
      </c>
      <c r="U151" s="15">
        <f t="shared" si="8"/>
        <v>2</v>
      </c>
    </row>
    <row r="152" spans="1:21" ht="18.75" customHeight="1">
      <c r="A152" s="16">
        <v>154</v>
      </c>
      <c r="B152" s="3">
        <v>7</v>
      </c>
      <c r="C152" s="4" t="s">
        <v>173</v>
      </c>
      <c r="D152" s="9" t="s">
        <v>441</v>
      </c>
      <c r="E152" s="5" t="s">
        <v>167</v>
      </c>
      <c r="F152" s="6">
        <v>325</v>
      </c>
      <c r="G152" s="6">
        <v>1688</v>
      </c>
      <c r="H152" s="6">
        <v>895</v>
      </c>
      <c r="I152" s="6">
        <v>793</v>
      </c>
      <c r="J152" s="17">
        <f t="shared" si="6"/>
        <v>886.03351955307267</v>
      </c>
      <c r="K152" s="6">
        <v>425</v>
      </c>
      <c r="L152" s="6">
        <v>229</v>
      </c>
      <c r="M152" s="6">
        <v>196</v>
      </c>
      <c r="N152" s="7">
        <f t="shared" si="7"/>
        <v>25.177725118483412</v>
      </c>
      <c r="O152" s="6">
        <v>1199</v>
      </c>
      <c r="P152" s="6">
        <v>705</v>
      </c>
      <c r="Q152" s="6">
        <v>494</v>
      </c>
      <c r="R152" s="7">
        <v>79.194187582562748</v>
      </c>
      <c r="S152" s="7">
        <v>88.345864661654133</v>
      </c>
      <c r="T152" s="7">
        <v>68.994413407821227</v>
      </c>
      <c r="U152" s="15">
        <f t="shared" si="8"/>
        <v>2</v>
      </c>
    </row>
    <row r="153" spans="1:21" ht="18.75" customHeight="1">
      <c r="A153" s="16">
        <v>155</v>
      </c>
      <c r="B153" s="3">
        <v>8</v>
      </c>
      <c r="C153" s="4" t="s">
        <v>174</v>
      </c>
      <c r="D153" s="9" t="s">
        <v>441</v>
      </c>
      <c r="E153" s="5" t="s">
        <v>167</v>
      </c>
      <c r="F153" s="6">
        <v>220</v>
      </c>
      <c r="G153" s="6">
        <v>1057</v>
      </c>
      <c r="H153" s="6">
        <v>551</v>
      </c>
      <c r="I153" s="6">
        <v>506</v>
      </c>
      <c r="J153" s="17">
        <f t="shared" si="6"/>
        <v>918.33030852994557</v>
      </c>
      <c r="K153" s="6">
        <v>459</v>
      </c>
      <c r="L153" s="6">
        <v>245</v>
      </c>
      <c r="M153" s="6">
        <v>214</v>
      </c>
      <c r="N153" s="7">
        <f t="shared" si="7"/>
        <v>43.4247871333964</v>
      </c>
      <c r="O153" s="6">
        <v>677</v>
      </c>
      <c r="P153" s="6">
        <v>396</v>
      </c>
      <c r="Q153" s="6">
        <v>281</v>
      </c>
      <c r="R153" s="7">
        <v>75.98204264870931</v>
      </c>
      <c r="S153" s="7">
        <v>84.978540772532185</v>
      </c>
      <c r="T153" s="7">
        <v>66.117647058823522</v>
      </c>
      <c r="U153" s="15">
        <f t="shared" si="8"/>
        <v>1</v>
      </c>
    </row>
    <row r="154" spans="1:21" ht="18.75" customHeight="1">
      <c r="A154" s="16">
        <v>156</v>
      </c>
      <c r="B154" s="3">
        <v>9</v>
      </c>
      <c r="C154" s="4" t="s">
        <v>175</v>
      </c>
      <c r="D154" s="9" t="s">
        <v>441</v>
      </c>
      <c r="E154" s="5" t="s">
        <v>167</v>
      </c>
      <c r="F154" s="6">
        <v>295</v>
      </c>
      <c r="G154" s="6">
        <v>1543</v>
      </c>
      <c r="H154" s="6">
        <v>806</v>
      </c>
      <c r="I154" s="6">
        <v>737</v>
      </c>
      <c r="J154" s="17">
        <f t="shared" si="6"/>
        <v>914.3920595533499</v>
      </c>
      <c r="K154" s="6">
        <v>411</v>
      </c>
      <c r="L154" s="6">
        <v>227</v>
      </c>
      <c r="M154" s="6">
        <v>184</v>
      </c>
      <c r="N154" s="7">
        <f t="shared" si="7"/>
        <v>26.63642255346727</v>
      </c>
      <c r="O154" s="6">
        <v>1055</v>
      </c>
      <c r="P154" s="6">
        <v>609</v>
      </c>
      <c r="Q154" s="6">
        <v>446</v>
      </c>
      <c r="R154" s="7">
        <v>77.630610743193529</v>
      </c>
      <c r="S154" s="7">
        <v>85.413744740532962</v>
      </c>
      <c r="T154" s="7">
        <v>69.040247678018574</v>
      </c>
      <c r="U154" s="15">
        <f t="shared" si="8"/>
        <v>1</v>
      </c>
    </row>
    <row r="155" spans="1:21" ht="18.75" customHeight="1">
      <c r="A155" s="16">
        <v>157</v>
      </c>
      <c r="B155" s="3">
        <v>10</v>
      </c>
      <c r="C155" s="4" t="s">
        <v>176</v>
      </c>
      <c r="D155" s="9" t="s">
        <v>441</v>
      </c>
      <c r="E155" s="5" t="s">
        <v>167</v>
      </c>
      <c r="F155" s="6">
        <v>165</v>
      </c>
      <c r="G155" s="6">
        <v>962</v>
      </c>
      <c r="H155" s="6">
        <v>514</v>
      </c>
      <c r="I155" s="6">
        <v>448</v>
      </c>
      <c r="J155" s="17">
        <f t="shared" si="6"/>
        <v>871.59533073929958</v>
      </c>
      <c r="K155" s="6">
        <v>47</v>
      </c>
      <c r="L155" s="6">
        <v>26</v>
      </c>
      <c r="M155" s="6">
        <v>21</v>
      </c>
      <c r="N155" s="7">
        <f t="shared" si="7"/>
        <v>4.885654885654886</v>
      </c>
      <c r="O155" s="6">
        <v>669</v>
      </c>
      <c r="P155" s="6">
        <v>382</v>
      </c>
      <c r="Q155" s="6">
        <v>287</v>
      </c>
      <c r="R155" s="7">
        <v>81.58536585365853</v>
      </c>
      <c r="S155" s="7">
        <v>88.837209302325576</v>
      </c>
      <c r="T155" s="7">
        <v>73.589743589743591</v>
      </c>
      <c r="U155" s="15">
        <f t="shared" si="8"/>
        <v>2</v>
      </c>
    </row>
    <row r="156" spans="1:21" ht="18.75" customHeight="1">
      <c r="A156" s="16">
        <v>158</v>
      </c>
      <c r="B156" s="3">
        <v>11</v>
      </c>
      <c r="C156" s="4" t="s">
        <v>177</v>
      </c>
      <c r="D156" s="9" t="s">
        <v>441</v>
      </c>
      <c r="E156" s="5" t="s">
        <v>167</v>
      </c>
      <c r="F156" s="6">
        <v>320</v>
      </c>
      <c r="G156" s="6">
        <v>1697</v>
      </c>
      <c r="H156" s="6">
        <v>873</v>
      </c>
      <c r="I156" s="6">
        <v>824</v>
      </c>
      <c r="J156" s="17">
        <f t="shared" si="6"/>
        <v>943.87170675830464</v>
      </c>
      <c r="K156" s="6">
        <v>379</v>
      </c>
      <c r="L156" s="6">
        <v>202</v>
      </c>
      <c r="M156" s="6">
        <v>177</v>
      </c>
      <c r="N156" s="7">
        <f t="shared" si="7"/>
        <v>22.333529758397173</v>
      </c>
      <c r="O156" s="6">
        <v>1171</v>
      </c>
      <c r="P156" s="6">
        <v>662</v>
      </c>
      <c r="Q156" s="6">
        <v>509</v>
      </c>
      <c r="R156" s="7">
        <v>78.066666666666663</v>
      </c>
      <c r="S156" s="7">
        <v>85.862516212710759</v>
      </c>
      <c r="T156" s="7">
        <v>69.821673525377221</v>
      </c>
      <c r="U156" s="15">
        <f t="shared" si="8"/>
        <v>1</v>
      </c>
    </row>
    <row r="157" spans="1:21" ht="18.75" customHeight="1">
      <c r="A157" s="16">
        <v>159</v>
      </c>
      <c r="B157" s="3">
        <v>12</v>
      </c>
      <c r="C157" s="4" t="s">
        <v>178</v>
      </c>
      <c r="D157" s="9" t="s">
        <v>441</v>
      </c>
      <c r="E157" s="5" t="s">
        <v>167</v>
      </c>
      <c r="F157" s="6">
        <v>262</v>
      </c>
      <c r="G157" s="6">
        <v>1449</v>
      </c>
      <c r="H157" s="6">
        <v>759</v>
      </c>
      <c r="I157" s="6">
        <v>690</v>
      </c>
      <c r="J157" s="17">
        <f t="shared" si="6"/>
        <v>909.09090909090901</v>
      </c>
      <c r="K157" s="6">
        <v>735</v>
      </c>
      <c r="L157" s="6">
        <v>390</v>
      </c>
      <c r="M157" s="6">
        <v>345</v>
      </c>
      <c r="N157" s="7">
        <f t="shared" si="7"/>
        <v>50.724637681159422</v>
      </c>
      <c r="O157" s="6">
        <v>894</v>
      </c>
      <c r="P157" s="6">
        <v>518</v>
      </c>
      <c r="Q157" s="6">
        <v>376</v>
      </c>
      <c r="R157" s="7">
        <v>72.979591836734699</v>
      </c>
      <c r="S157" s="7">
        <v>81.832543443917842</v>
      </c>
      <c r="T157" s="7">
        <v>63.513513513513509</v>
      </c>
      <c r="U157" s="15">
        <f t="shared" si="8"/>
        <v>1</v>
      </c>
    </row>
    <row r="158" spans="1:21" ht="18.75" customHeight="1">
      <c r="A158" s="16">
        <v>160</v>
      </c>
      <c r="B158" s="3">
        <v>13</v>
      </c>
      <c r="C158" s="4" t="s">
        <v>179</v>
      </c>
      <c r="D158" s="9" t="s">
        <v>441</v>
      </c>
      <c r="E158" s="5" t="s">
        <v>167</v>
      </c>
      <c r="F158" s="6">
        <v>179</v>
      </c>
      <c r="G158" s="6">
        <v>841</v>
      </c>
      <c r="H158" s="6">
        <v>505</v>
      </c>
      <c r="I158" s="6">
        <v>336</v>
      </c>
      <c r="J158" s="17">
        <f t="shared" si="6"/>
        <v>665.34653465346537</v>
      </c>
      <c r="K158" s="6">
        <v>191</v>
      </c>
      <c r="L158" s="6">
        <v>108</v>
      </c>
      <c r="M158" s="6">
        <v>83</v>
      </c>
      <c r="N158" s="7">
        <f t="shared" si="7"/>
        <v>22.711058263971463</v>
      </c>
      <c r="O158" s="6">
        <v>565</v>
      </c>
      <c r="P158" s="6">
        <v>372</v>
      </c>
      <c r="Q158" s="6">
        <v>193</v>
      </c>
      <c r="R158" s="7">
        <v>76.043068640646027</v>
      </c>
      <c r="S158" s="7">
        <v>81.578947368421055</v>
      </c>
      <c r="T158" s="7">
        <v>67.247386759581886</v>
      </c>
      <c r="U158" s="15">
        <f t="shared" si="8"/>
        <v>0</v>
      </c>
    </row>
    <row r="159" spans="1:21" ht="18.75" customHeight="1">
      <c r="A159" s="16">
        <v>161</v>
      </c>
      <c r="B159" s="3">
        <v>14</v>
      </c>
      <c r="C159" s="4" t="s">
        <v>180</v>
      </c>
      <c r="D159" s="9" t="s">
        <v>441</v>
      </c>
      <c r="E159" s="5" t="s">
        <v>167</v>
      </c>
      <c r="F159" s="6">
        <v>124</v>
      </c>
      <c r="G159" s="6">
        <v>596</v>
      </c>
      <c r="H159" s="6">
        <v>312</v>
      </c>
      <c r="I159" s="6">
        <v>284</v>
      </c>
      <c r="J159" s="17">
        <f t="shared" si="6"/>
        <v>910.25641025641028</v>
      </c>
      <c r="K159" s="6">
        <v>97</v>
      </c>
      <c r="L159" s="6">
        <v>55</v>
      </c>
      <c r="M159" s="6">
        <v>42</v>
      </c>
      <c r="N159" s="7">
        <f t="shared" si="7"/>
        <v>16.275167785234899</v>
      </c>
      <c r="O159" s="6">
        <v>381</v>
      </c>
      <c r="P159" s="6">
        <v>233</v>
      </c>
      <c r="Q159" s="6">
        <v>148</v>
      </c>
      <c r="R159" s="7">
        <v>72.70992366412213</v>
      </c>
      <c r="S159" s="7">
        <v>84.727272727272734</v>
      </c>
      <c r="T159" s="7">
        <v>59.437751004016057</v>
      </c>
      <c r="U159" s="15">
        <f t="shared" si="8"/>
        <v>1</v>
      </c>
    </row>
    <row r="160" spans="1:21" ht="18.75" customHeight="1">
      <c r="A160" s="16">
        <v>162</v>
      </c>
      <c r="B160" s="3">
        <v>15</v>
      </c>
      <c r="C160" s="4" t="s">
        <v>181</v>
      </c>
      <c r="D160" s="9" t="s">
        <v>441</v>
      </c>
      <c r="E160" s="5" t="s">
        <v>167</v>
      </c>
      <c r="F160" s="6">
        <v>93</v>
      </c>
      <c r="G160" s="6">
        <v>434</v>
      </c>
      <c r="H160" s="6">
        <v>222</v>
      </c>
      <c r="I160" s="6">
        <v>212</v>
      </c>
      <c r="J160" s="17">
        <f t="shared" si="6"/>
        <v>954.95495495495493</v>
      </c>
      <c r="K160" s="6">
        <v>16</v>
      </c>
      <c r="L160" s="6">
        <v>9</v>
      </c>
      <c r="M160" s="6">
        <v>7</v>
      </c>
      <c r="N160" s="7">
        <f t="shared" si="7"/>
        <v>3.6866359447004609</v>
      </c>
      <c r="O160" s="6">
        <v>231</v>
      </c>
      <c r="P160" s="6">
        <v>140</v>
      </c>
      <c r="Q160" s="6">
        <v>91</v>
      </c>
      <c r="R160" s="7">
        <v>67.941176470588232</v>
      </c>
      <c r="S160" s="7">
        <v>80</v>
      </c>
      <c r="T160" s="7">
        <v>55.151515151515149</v>
      </c>
      <c r="U160" s="15">
        <f t="shared" si="8"/>
        <v>1</v>
      </c>
    </row>
    <row r="161" spans="1:21" ht="18.75" customHeight="1">
      <c r="A161" s="16">
        <v>163</v>
      </c>
      <c r="B161" s="3">
        <v>16</v>
      </c>
      <c r="C161" s="4" t="s">
        <v>182</v>
      </c>
      <c r="D161" s="9" t="s">
        <v>441</v>
      </c>
      <c r="E161" s="5" t="s">
        <v>167</v>
      </c>
      <c r="F161" s="6">
        <v>272</v>
      </c>
      <c r="G161" s="6">
        <v>1371</v>
      </c>
      <c r="H161" s="6">
        <v>722</v>
      </c>
      <c r="I161" s="6">
        <v>649</v>
      </c>
      <c r="J161" s="17">
        <f t="shared" si="6"/>
        <v>898.89196675900268</v>
      </c>
      <c r="K161" s="6">
        <v>446</v>
      </c>
      <c r="L161" s="6">
        <v>227</v>
      </c>
      <c r="M161" s="6">
        <v>219</v>
      </c>
      <c r="N161" s="7">
        <f t="shared" si="7"/>
        <v>32.530999270605399</v>
      </c>
      <c r="O161" s="6">
        <v>916</v>
      </c>
      <c r="P161" s="6">
        <v>506</v>
      </c>
      <c r="Q161" s="6">
        <v>410</v>
      </c>
      <c r="R161" s="7">
        <v>75.577557755775587</v>
      </c>
      <c r="S161" s="7">
        <v>79.810725552050471</v>
      </c>
      <c r="T161" s="7">
        <v>70.934256055363321</v>
      </c>
      <c r="U161" s="15">
        <f t="shared" si="8"/>
        <v>2</v>
      </c>
    </row>
    <row r="162" spans="1:21" ht="18.75" customHeight="1">
      <c r="A162" s="16">
        <v>164</v>
      </c>
      <c r="B162" s="3">
        <v>17</v>
      </c>
      <c r="C162" s="4" t="s">
        <v>183</v>
      </c>
      <c r="D162" s="9" t="s">
        <v>441</v>
      </c>
      <c r="E162" s="5" t="s">
        <v>167</v>
      </c>
      <c r="F162" s="6">
        <v>240</v>
      </c>
      <c r="G162" s="6">
        <v>1275</v>
      </c>
      <c r="H162" s="6">
        <v>674</v>
      </c>
      <c r="I162" s="6">
        <v>601</v>
      </c>
      <c r="J162" s="17">
        <f t="shared" si="6"/>
        <v>891.69139465875367</v>
      </c>
      <c r="K162" s="6">
        <v>336</v>
      </c>
      <c r="L162" s="6">
        <v>178</v>
      </c>
      <c r="M162" s="6">
        <v>158</v>
      </c>
      <c r="N162" s="7">
        <f t="shared" si="7"/>
        <v>26.352941176470591</v>
      </c>
      <c r="O162" s="6">
        <v>840</v>
      </c>
      <c r="P162" s="6">
        <v>484</v>
      </c>
      <c r="Q162" s="6">
        <v>356</v>
      </c>
      <c r="R162" s="7">
        <v>74.666666666666671</v>
      </c>
      <c r="S162" s="7">
        <v>82.312925170068027</v>
      </c>
      <c r="T162" s="7">
        <v>66.294227188081933</v>
      </c>
      <c r="U162" s="15">
        <f t="shared" si="8"/>
        <v>2</v>
      </c>
    </row>
    <row r="163" spans="1:21" ht="18.75" customHeight="1">
      <c r="A163" s="16">
        <v>165</v>
      </c>
      <c r="B163" s="3">
        <v>18</v>
      </c>
      <c r="C163" s="4" t="s">
        <v>184</v>
      </c>
      <c r="D163" s="9" t="s">
        <v>441</v>
      </c>
      <c r="E163" s="5" t="s">
        <v>167</v>
      </c>
      <c r="F163" s="6">
        <v>251</v>
      </c>
      <c r="G163" s="6">
        <v>1514</v>
      </c>
      <c r="H163" s="6">
        <v>787</v>
      </c>
      <c r="I163" s="6">
        <v>727</v>
      </c>
      <c r="J163" s="17">
        <f t="shared" si="6"/>
        <v>923.76111817026685</v>
      </c>
      <c r="K163" s="6">
        <v>44</v>
      </c>
      <c r="L163" s="6">
        <v>22</v>
      </c>
      <c r="M163" s="6">
        <v>22</v>
      </c>
      <c r="N163" s="7">
        <f t="shared" si="7"/>
        <v>2.9062087186261558</v>
      </c>
      <c r="O163" s="6">
        <v>1087</v>
      </c>
      <c r="P163" s="6">
        <v>607</v>
      </c>
      <c r="Q163" s="6">
        <v>480</v>
      </c>
      <c r="R163" s="7">
        <v>79.809104258443469</v>
      </c>
      <c r="S163" s="7">
        <v>86.467236467236461</v>
      </c>
      <c r="T163" s="7">
        <v>72.727272727272734</v>
      </c>
      <c r="U163" s="15">
        <f t="shared" si="8"/>
        <v>1</v>
      </c>
    </row>
    <row r="164" spans="1:21" ht="18.75" customHeight="1">
      <c r="A164" s="16">
        <v>166</v>
      </c>
      <c r="B164" s="3">
        <v>19</v>
      </c>
      <c r="C164" s="4" t="s">
        <v>185</v>
      </c>
      <c r="D164" s="9" t="s">
        <v>441</v>
      </c>
      <c r="E164" s="5" t="s">
        <v>167</v>
      </c>
      <c r="F164" s="6">
        <v>93</v>
      </c>
      <c r="G164" s="6">
        <v>488</v>
      </c>
      <c r="H164" s="6">
        <v>258</v>
      </c>
      <c r="I164" s="6">
        <v>230</v>
      </c>
      <c r="J164" s="17">
        <f t="shared" si="6"/>
        <v>891.47286821705427</v>
      </c>
      <c r="K164" s="6">
        <v>155</v>
      </c>
      <c r="L164" s="6">
        <v>88</v>
      </c>
      <c r="M164" s="6">
        <v>67</v>
      </c>
      <c r="N164" s="7">
        <f t="shared" si="7"/>
        <v>31.762295081967213</v>
      </c>
      <c r="O164" s="6">
        <v>330</v>
      </c>
      <c r="P164" s="6">
        <v>195</v>
      </c>
      <c r="Q164" s="6">
        <v>135</v>
      </c>
      <c r="R164" s="7">
        <v>76.923076923076934</v>
      </c>
      <c r="S164" s="7">
        <v>87.443946188340803</v>
      </c>
      <c r="T164" s="7">
        <v>65.533980582524279</v>
      </c>
      <c r="U164" s="15">
        <f t="shared" si="8"/>
        <v>2</v>
      </c>
    </row>
    <row r="165" spans="1:21" ht="18.75" customHeight="1">
      <c r="A165" s="16">
        <v>167</v>
      </c>
      <c r="B165" s="3">
        <v>20</v>
      </c>
      <c r="C165" s="4" t="s">
        <v>186</v>
      </c>
      <c r="D165" s="9" t="s">
        <v>441</v>
      </c>
      <c r="E165" s="5" t="s">
        <v>167</v>
      </c>
      <c r="F165" s="6">
        <v>304</v>
      </c>
      <c r="G165" s="6">
        <v>1698</v>
      </c>
      <c r="H165" s="6">
        <v>928</v>
      </c>
      <c r="I165" s="6">
        <v>770</v>
      </c>
      <c r="J165" s="17">
        <f t="shared" si="6"/>
        <v>829.74137931034488</v>
      </c>
      <c r="K165" s="6">
        <v>332</v>
      </c>
      <c r="L165" s="6">
        <v>189</v>
      </c>
      <c r="M165" s="6">
        <v>143</v>
      </c>
      <c r="N165" s="7">
        <f t="shared" si="7"/>
        <v>19.552414605418139</v>
      </c>
      <c r="O165" s="6">
        <v>1105</v>
      </c>
      <c r="P165" s="6">
        <v>660</v>
      </c>
      <c r="Q165" s="6">
        <v>445</v>
      </c>
      <c r="R165" s="7">
        <v>73.962516733601063</v>
      </c>
      <c r="S165" s="7">
        <v>81.2807881773399</v>
      </c>
      <c r="T165" s="7">
        <v>65.249266862170089</v>
      </c>
      <c r="U165" s="15">
        <f t="shared" si="8"/>
        <v>2</v>
      </c>
    </row>
    <row r="166" spans="1:21" ht="18.75" customHeight="1">
      <c r="A166" s="16">
        <v>168</v>
      </c>
      <c r="B166" s="3">
        <v>21</v>
      </c>
      <c r="C166" s="4" t="s">
        <v>187</v>
      </c>
      <c r="D166" s="9" t="s">
        <v>441</v>
      </c>
      <c r="E166" s="5" t="s">
        <v>167</v>
      </c>
      <c r="F166" s="6">
        <v>448</v>
      </c>
      <c r="G166" s="6">
        <v>2283</v>
      </c>
      <c r="H166" s="6">
        <v>1230</v>
      </c>
      <c r="I166" s="6">
        <v>1053</v>
      </c>
      <c r="J166" s="17">
        <f t="shared" si="6"/>
        <v>856.09756097560978</v>
      </c>
      <c r="K166" s="6">
        <v>355</v>
      </c>
      <c r="L166" s="6">
        <v>190</v>
      </c>
      <c r="M166" s="6">
        <v>165</v>
      </c>
      <c r="N166" s="7">
        <f t="shared" si="7"/>
        <v>15.549715286903199</v>
      </c>
      <c r="O166" s="6">
        <v>1496</v>
      </c>
      <c r="P166" s="6">
        <v>880</v>
      </c>
      <c r="Q166" s="6">
        <v>616</v>
      </c>
      <c r="R166" s="7">
        <v>76.209882832399387</v>
      </c>
      <c r="S166" s="7">
        <v>85.024154589371975</v>
      </c>
      <c r="T166" s="7">
        <v>66.379310344827587</v>
      </c>
      <c r="U166" s="15">
        <f t="shared" si="8"/>
        <v>2</v>
      </c>
    </row>
    <row r="167" spans="1:21" ht="18.75" customHeight="1">
      <c r="A167" s="16">
        <v>169</v>
      </c>
      <c r="B167" s="3">
        <v>22</v>
      </c>
      <c r="C167" s="4" t="s">
        <v>188</v>
      </c>
      <c r="D167" s="9" t="s">
        <v>441</v>
      </c>
      <c r="E167" s="5" t="s">
        <v>167</v>
      </c>
      <c r="F167" s="6">
        <v>184</v>
      </c>
      <c r="G167" s="6">
        <v>961</v>
      </c>
      <c r="H167" s="6">
        <v>488</v>
      </c>
      <c r="I167" s="6">
        <v>473</v>
      </c>
      <c r="J167" s="17">
        <f t="shared" si="6"/>
        <v>969.2622950819673</v>
      </c>
      <c r="K167" s="6">
        <v>165</v>
      </c>
      <c r="L167" s="6">
        <v>86</v>
      </c>
      <c r="M167" s="6">
        <v>79</v>
      </c>
      <c r="N167" s="7">
        <f t="shared" si="7"/>
        <v>17.169614984391259</v>
      </c>
      <c r="O167" s="6">
        <v>650</v>
      </c>
      <c r="P167" s="6">
        <v>379</v>
      </c>
      <c r="Q167" s="6">
        <v>271</v>
      </c>
      <c r="R167" s="7">
        <v>77.38095238095238</v>
      </c>
      <c r="S167" s="7">
        <v>88.139534883720927</v>
      </c>
      <c r="T167" s="7">
        <v>66.097560975609753</v>
      </c>
      <c r="U167" s="15">
        <f t="shared" si="8"/>
        <v>1</v>
      </c>
    </row>
    <row r="168" spans="1:21" ht="18.75" customHeight="1">
      <c r="A168" s="16">
        <v>170</v>
      </c>
      <c r="B168" s="3">
        <v>23</v>
      </c>
      <c r="C168" s="4" t="s">
        <v>189</v>
      </c>
      <c r="D168" s="9" t="s">
        <v>441</v>
      </c>
      <c r="E168" s="5" t="s">
        <v>167</v>
      </c>
      <c r="F168" s="6">
        <v>290</v>
      </c>
      <c r="G168" s="6">
        <v>1583</v>
      </c>
      <c r="H168" s="6">
        <v>846</v>
      </c>
      <c r="I168" s="6">
        <v>737</v>
      </c>
      <c r="J168" s="17">
        <f t="shared" si="6"/>
        <v>871.15839243498817</v>
      </c>
      <c r="K168" s="6">
        <v>341</v>
      </c>
      <c r="L168" s="6">
        <v>184</v>
      </c>
      <c r="M168" s="6">
        <v>157</v>
      </c>
      <c r="N168" s="7">
        <f t="shared" si="7"/>
        <v>21.541377132027794</v>
      </c>
      <c r="O168" s="6">
        <v>1127</v>
      </c>
      <c r="P168" s="6">
        <v>631</v>
      </c>
      <c r="Q168" s="6">
        <v>496</v>
      </c>
      <c r="R168" s="7">
        <v>79.534227240649258</v>
      </c>
      <c r="S168" s="7">
        <v>85.155195681511472</v>
      </c>
      <c r="T168" s="7">
        <v>73.372781065088759</v>
      </c>
      <c r="U168" s="15">
        <f t="shared" si="8"/>
        <v>2</v>
      </c>
    </row>
    <row r="169" spans="1:21" ht="18.75" customHeight="1">
      <c r="A169" s="16">
        <v>172</v>
      </c>
      <c r="B169" s="3">
        <v>25</v>
      </c>
      <c r="C169" s="4" t="s">
        <v>191</v>
      </c>
      <c r="D169" s="9" t="s">
        <v>441</v>
      </c>
      <c r="E169" s="5" t="s">
        <v>167</v>
      </c>
      <c r="F169" s="6">
        <v>408</v>
      </c>
      <c r="G169" s="6">
        <v>2131</v>
      </c>
      <c r="H169" s="6">
        <v>1102</v>
      </c>
      <c r="I169" s="6">
        <v>1029</v>
      </c>
      <c r="J169" s="17">
        <f t="shared" si="6"/>
        <v>933.75680580762253</v>
      </c>
      <c r="K169" s="6">
        <v>483</v>
      </c>
      <c r="L169" s="6">
        <v>246</v>
      </c>
      <c r="M169" s="6">
        <v>237</v>
      </c>
      <c r="N169" s="7">
        <f t="shared" si="7"/>
        <v>22.665415297982168</v>
      </c>
      <c r="O169" s="6">
        <v>1385</v>
      </c>
      <c r="P169" s="6">
        <v>794</v>
      </c>
      <c r="Q169" s="6">
        <v>591</v>
      </c>
      <c r="R169" s="7">
        <v>74.743658931462491</v>
      </c>
      <c r="S169" s="7">
        <v>83.228511530398322</v>
      </c>
      <c r="T169" s="7">
        <v>65.739710789766406</v>
      </c>
      <c r="U169" s="15">
        <f t="shared" si="8"/>
        <v>1</v>
      </c>
    </row>
    <row r="170" spans="1:21" ht="18.75" customHeight="1">
      <c r="A170" s="16">
        <v>173</v>
      </c>
      <c r="B170" s="3">
        <v>26</v>
      </c>
      <c r="C170" s="4" t="s">
        <v>192</v>
      </c>
      <c r="D170" s="9" t="s">
        <v>441</v>
      </c>
      <c r="E170" s="5" t="s">
        <v>167</v>
      </c>
      <c r="F170" s="6">
        <v>229</v>
      </c>
      <c r="G170" s="6">
        <v>1272</v>
      </c>
      <c r="H170" s="6">
        <v>660</v>
      </c>
      <c r="I170" s="6">
        <v>612</v>
      </c>
      <c r="J170" s="17">
        <f t="shared" si="6"/>
        <v>927.27272727272725</v>
      </c>
      <c r="K170" s="6">
        <v>393</v>
      </c>
      <c r="L170" s="6">
        <v>199</v>
      </c>
      <c r="M170" s="6">
        <v>194</v>
      </c>
      <c r="N170" s="7">
        <f t="shared" si="7"/>
        <v>30.89622641509434</v>
      </c>
      <c r="O170" s="6">
        <v>895</v>
      </c>
      <c r="P170" s="6">
        <v>511</v>
      </c>
      <c r="Q170" s="6">
        <v>384</v>
      </c>
      <c r="R170" s="7">
        <v>79.063604240282686</v>
      </c>
      <c r="S170" s="7">
        <v>88.56152512998267</v>
      </c>
      <c r="T170" s="7">
        <v>69.189189189189193</v>
      </c>
      <c r="U170" s="15">
        <f t="shared" si="8"/>
        <v>1</v>
      </c>
    </row>
    <row r="171" spans="1:21" ht="18.75" customHeight="1">
      <c r="A171" s="16">
        <v>174</v>
      </c>
      <c r="B171" s="3">
        <v>27</v>
      </c>
      <c r="C171" s="4" t="s">
        <v>193</v>
      </c>
      <c r="D171" s="9" t="s">
        <v>441</v>
      </c>
      <c r="E171" s="5" t="s">
        <v>167</v>
      </c>
      <c r="F171" s="6">
        <v>160</v>
      </c>
      <c r="G171" s="6">
        <v>844</v>
      </c>
      <c r="H171" s="6">
        <v>452</v>
      </c>
      <c r="I171" s="6">
        <v>392</v>
      </c>
      <c r="J171" s="17">
        <f t="shared" si="6"/>
        <v>867.25663716814165</v>
      </c>
      <c r="K171" s="6">
        <v>202</v>
      </c>
      <c r="L171" s="6">
        <v>111</v>
      </c>
      <c r="M171" s="6">
        <v>91</v>
      </c>
      <c r="N171" s="7">
        <f t="shared" si="7"/>
        <v>23.933649289099527</v>
      </c>
      <c r="O171" s="6">
        <v>560</v>
      </c>
      <c r="P171" s="6">
        <v>326</v>
      </c>
      <c r="Q171" s="6">
        <v>234</v>
      </c>
      <c r="R171" s="7">
        <v>75.370121130551809</v>
      </c>
      <c r="S171" s="7">
        <v>83.804627249357324</v>
      </c>
      <c r="T171" s="7">
        <v>66.101694915254242</v>
      </c>
      <c r="U171" s="15">
        <f t="shared" si="8"/>
        <v>2</v>
      </c>
    </row>
    <row r="172" spans="1:21" ht="18.75" customHeight="1">
      <c r="A172" s="16">
        <v>175</v>
      </c>
      <c r="B172" s="3">
        <v>28</v>
      </c>
      <c r="C172" s="4" t="s">
        <v>194</v>
      </c>
      <c r="D172" s="9" t="s">
        <v>441</v>
      </c>
      <c r="E172" s="5" t="s">
        <v>167</v>
      </c>
      <c r="F172" s="6">
        <v>118</v>
      </c>
      <c r="G172" s="6">
        <v>657</v>
      </c>
      <c r="H172" s="6">
        <v>333</v>
      </c>
      <c r="I172" s="6">
        <v>324</v>
      </c>
      <c r="J172" s="17">
        <f t="shared" si="6"/>
        <v>972.97297297297303</v>
      </c>
      <c r="K172" s="6">
        <v>184</v>
      </c>
      <c r="L172" s="6">
        <v>89</v>
      </c>
      <c r="M172" s="6">
        <v>95</v>
      </c>
      <c r="N172" s="7">
        <f t="shared" si="7"/>
        <v>28.006088280060879</v>
      </c>
      <c r="O172" s="6">
        <v>444</v>
      </c>
      <c r="P172" s="6">
        <v>239</v>
      </c>
      <c r="Q172" s="6">
        <v>205</v>
      </c>
      <c r="R172" s="7">
        <v>76.683937823834185</v>
      </c>
      <c r="S172" s="7">
        <v>84.452296819787989</v>
      </c>
      <c r="T172" s="7">
        <v>69.256756756756758</v>
      </c>
      <c r="U172" s="15">
        <f t="shared" si="8"/>
        <v>1</v>
      </c>
    </row>
    <row r="173" spans="1:21" ht="18.75" customHeight="1">
      <c r="A173" s="16">
        <v>176</v>
      </c>
      <c r="B173" s="3">
        <v>29</v>
      </c>
      <c r="C173" s="4" t="s">
        <v>195</v>
      </c>
      <c r="D173" s="9" t="s">
        <v>441</v>
      </c>
      <c r="E173" s="5" t="s">
        <v>167</v>
      </c>
      <c r="F173" s="6">
        <v>82</v>
      </c>
      <c r="G173" s="6">
        <v>447</v>
      </c>
      <c r="H173" s="6">
        <v>237</v>
      </c>
      <c r="I173" s="6">
        <v>210</v>
      </c>
      <c r="J173" s="17">
        <f t="shared" si="6"/>
        <v>886.07594936708858</v>
      </c>
      <c r="K173" s="6">
        <v>25</v>
      </c>
      <c r="L173" s="6">
        <v>14</v>
      </c>
      <c r="M173" s="6">
        <v>11</v>
      </c>
      <c r="N173" s="7">
        <f t="shared" si="7"/>
        <v>5.592841163310962</v>
      </c>
      <c r="O173" s="6">
        <v>297</v>
      </c>
      <c r="P173" s="6">
        <v>178</v>
      </c>
      <c r="Q173" s="6">
        <v>119</v>
      </c>
      <c r="R173" s="7">
        <v>73.514851485148512</v>
      </c>
      <c r="S173" s="7">
        <v>83.177570093457945</v>
      </c>
      <c r="T173" s="7">
        <v>62.631578947368418</v>
      </c>
      <c r="U173" s="15">
        <f t="shared" si="8"/>
        <v>2</v>
      </c>
    </row>
    <row r="174" spans="1:21" ht="18.75" customHeight="1">
      <c r="A174" s="16">
        <v>177</v>
      </c>
      <c r="B174" s="3">
        <v>30</v>
      </c>
      <c r="C174" s="4" t="s">
        <v>196</v>
      </c>
      <c r="D174" s="9" t="s">
        <v>441</v>
      </c>
      <c r="E174" s="5" t="s">
        <v>167</v>
      </c>
      <c r="F174" s="6">
        <v>291</v>
      </c>
      <c r="G174" s="6">
        <v>1464</v>
      </c>
      <c r="H174" s="6">
        <v>752</v>
      </c>
      <c r="I174" s="6">
        <v>712</v>
      </c>
      <c r="J174" s="17">
        <f t="shared" si="6"/>
        <v>946.80851063829789</v>
      </c>
      <c r="K174" s="6">
        <v>678</v>
      </c>
      <c r="L174" s="6">
        <v>348</v>
      </c>
      <c r="M174" s="6">
        <v>330</v>
      </c>
      <c r="N174" s="7">
        <f t="shared" si="7"/>
        <v>46.311475409836063</v>
      </c>
      <c r="O174" s="6">
        <v>981</v>
      </c>
      <c r="P174" s="6">
        <v>541</v>
      </c>
      <c r="Q174" s="6">
        <v>440</v>
      </c>
      <c r="R174" s="7">
        <v>75.287797390636996</v>
      </c>
      <c r="S174" s="7">
        <v>80.988023952095816</v>
      </c>
      <c r="T174" s="7">
        <v>69.29133858267717</v>
      </c>
      <c r="U174" s="15">
        <f t="shared" si="8"/>
        <v>1</v>
      </c>
    </row>
    <row r="175" spans="1:21" ht="18.75" customHeight="1">
      <c r="A175" s="16">
        <v>178</v>
      </c>
      <c r="B175" s="3">
        <v>31</v>
      </c>
      <c r="C175" s="4" t="s">
        <v>197</v>
      </c>
      <c r="D175" s="9" t="s">
        <v>441</v>
      </c>
      <c r="E175" s="5" t="s">
        <v>167</v>
      </c>
      <c r="F175" s="6">
        <v>164</v>
      </c>
      <c r="G175" s="6">
        <v>816</v>
      </c>
      <c r="H175" s="6">
        <v>430</v>
      </c>
      <c r="I175" s="6">
        <v>386</v>
      </c>
      <c r="J175" s="17">
        <f t="shared" si="6"/>
        <v>897.67441860465112</v>
      </c>
      <c r="K175" s="6">
        <v>0</v>
      </c>
      <c r="L175" s="6">
        <v>0</v>
      </c>
      <c r="M175" s="6">
        <v>0</v>
      </c>
      <c r="N175" s="7">
        <f t="shared" si="7"/>
        <v>0</v>
      </c>
      <c r="O175" s="6">
        <v>409</v>
      </c>
      <c r="P175" s="6">
        <v>253</v>
      </c>
      <c r="Q175" s="6">
        <v>156</v>
      </c>
      <c r="R175" s="7">
        <v>62.34756097560976</v>
      </c>
      <c r="S175" s="7">
        <v>74.852071005917168</v>
      </c>
      <c r="T175" s="7">
        <v>49.056603773584904</v>
      </c>
      <c r="U175" s="15">
        <f t="shared" si="8"/>
        <v>2</v>
      </c>
    </row>
    <row r="176" spans="1:21" ht="18.75" customHeight="1">
      <c r="A176" s="16">
        <v>179</v>
      </c>
      <c r="B176" s="3">
        <v>32</v>
      </c>
      <c r="C176" s="4" t="s">
        <v>198</v>
      </c>
      <c r="D176" s="9" t="s">
        <v>441</v>
      </c>
      <c r="E176" s="5" t="s">
        <v>167</v>
      </c>
      <c r="F176" s="6">
        <v>201</v>
      </c>
      <c r="G176" s="6">
        <v>1102</v>
      </c>
      <c r="H176" s="6">
        <v>579</v>
      </c>
      <c r="I176" s="6">
        <v>523</v>
      </c>
      <c r="J176" s="17">
        <f t="shared" si="6"/>
        <v>903.2815198618307</v>
      </c>
      <c r="K176" s="6">
        <v>159</v>
      </c>
      <c r="L176" s="6">
        <v>77</v>
      </c>
      <c r="M176" s="6">
        <v>82</v>
      </c>
      <c r="N176" s="7">
        <f t="shared" si="7"/>
        <v>14.42831215970962</v>
      </c>
      <c r="O176" s="6">
        <v>728</v>
      </c>
      <c r="P176" s="6">
        <v>432</v>
      </c>
      <c r="Q176" s="6">
        <v>296</v>
      </c>
      <c r="R176" s="7">
        <v>76.955602536997887</v>
      </c>
      <c r="S176" s="7">
        <v>87.62677484787018</v>
      </c>
      <c r="T176" s="7">
        <v>65.342163355408388</v>
      </c>
      <c r="U176" s="15">
        <f t="shared" si="8"/>
        <v>1</v>
      </c>
    </row>
    <row r="177" spans="1:21" ht="18.75" customHeight="1">
      <c r="A177" s="16">
        <v>180</v>
      </c>
      <c r="B177" s="3">
        <v>33</v>
      </c>
      <c r="C177" s="4" t="s">
        <v>199</v>
      </c>
      <c r="D177" s="9" t="s">
        <v>441</v>
      </c>
      <c r="E177" s="5" t="s">
        <v>167</v>
      </c>
      <c r="F177" s="6">
        <v>637</v>
      </c>
      <c r="G177" s="6">
        <v>3389</v>
      </c>
      <c r="H177" s="6">
        <v>1795</v>
      </c>
      <c r="I177" s="6">
        <v>1594</v>
      </c>
      <c r="J177" s="17">
        <f t="shared" si="6"/>
        <v>888.02228412256272</v>
      </c>
      <c r="K177" s="6">
        <v>997</v>
      </c>
      <c r="L177" s="6">
        <v>516</v>
      </c>
      <c r="M177" s="6">
        <v>481</v>
      </c>
      <c r="N177" s="7">
        <f t="shared" si="7"/>
        <v>29.418707583357921</v>
      </c>
      <c r="O177" s="6">
        <v>2262</v>
      </c>
      <c r="P177" s="6">
        <v>1314</v>
      </c>
      <c r="Q177" s="6">
        <v>948</v>
      </c>
      <c r="R177" s="7">
        <v>75.829701642641638</v>
      </c>
      <c r="S177" s="7">
        <v>84.015345268542191</v>
      </c>
      <c r="T177" s="7">
        <v>66.807610993657505</v>
      </c>
      <c r="U177" s="15">
        <f t="shared" si="8"/>
        <v>2</v>
      </c>
    </row>
    <row r="178" spans="1:21" ht="18.75" customHeight="1">
      <c r="A178" s="16">
        <v>181</v>
      </c>
      <c r="B178" s="3">
        <v>34</v>
      </c>
      <c r="C178" s="4" t="s">
        <v>200</v>
      </c>
      <c r="D178" s="9" t="s">
        <v>441</v>
      </c>
      <c r="E178" s="5" t="s">
        <v>167</v>
      </c>
      <c r="F178" s="6">
        <v>180</v>
      </c>
      <c r="G178" s="6">
        <v>987</v>
      </c>
      <c r="H178" s="6">
        <v>508</v>
      </c>
      <c r="I178" s="6">
        <v>479</v>
      </c>
      <c r="J178" s="17">
        <f t="shared" si="6"/>
        <v>942.91338582677167</v>
      </c>
      <c r="K178" s="6">
        <v>317</v>
      </c>
      <c r="L178" s="6">
        <v>163</v>
      </c>
      <c r="M178" s="6">
        <v>154</v>
      </c>
      <c r="N178" s="7">
        <f t="shared" si="7"/>
        <v>32.117527862208711</v>
      </c>
      <c r="O178" s="6">
        <v>687</v>
      </c>
      <c r="P178" s="6">
        <v>381</v>
      </c>
      <c r="Q178" s="6">
        <v>306</v>
      </c>
      <c r="R178" s="7">
        <v>80.633802816901408</v>
      </c>
      <c r="S178" s="7">
        <v>88.194444444444443</v>
      </c>
      <c r="T178" s="7">
        <v>72.857142857142847</v>
      </c>
      <c r="U178" s="15">
        <f t="shared" si="8"/>
        <v>1</v>
      </c>
    </row>
    <row r="179" spans="1:21" ht="18.75" customHeight="1">
      <c r="A179" s="16">
        <v>182</v>
      </c>
      <c r="B179" s="3">
        <v>35</v>
      </c>
      <c r="C179" s="4" t="s">
        <v>201</v>
      </c>
      <c r="D179" s="9" t="s">
        <v>441</v>
      </c>
      <c r="E179" s="5" t="s">
        <v>167</v>
      </c>
      <c r="F179" s="6">
        <v>188</v>
      </c>
      <c r="G179" s="6">
        <v>1122</v>
      </c>
      <c r="H179" s="6">
        <v>571</v>
      </c>
      <c r="I179" s="6">
        <v>551</v>
      </c>
      <c r="J179" s="17">
        <f t="shared" si="6"/>
        <v>964.97373029772325</v>
      </c>
      <c r="K179" s="6">
        <v>256</v>
      </c>
      <c r="L179" s="6">
        <v>137</v>
      </c>
      <c r="M179" s="6">
        <v>119</v>
      </c>
      <c r="N179" s="7">
        <f t="shared" si="7"/>
        <v>22.816399286987522</v>
      </c>
      <c r="O179" s="6">
        <v>681</v>
      </c>
      <c r="P179" s="6">
        <v>404</v>
      </c>
      <c r="Q179" s="6">
        <v>277</v>
      </c>
      <c r="R179" s="7">
        <v>70.206185567010309</v>
      </c>
      <c r="S179" s="7">
        <v>81.616161616161619</v>
      </c>
      <c r="T179" s="7">
        <v>58.315789473684212</v>
      </c>
      <c r="U179" s="15">
        <f t="shared" si="8"/>
        <v>1</v>
      </c>
    </row>
    <row r="180" spans="1:21" ht="18.75" customHeight="1">
      <c r="A180" s="16">
        <v>183</v>
      </c>
      <c r="B180" s="3">
        <v>36</v>
      </c>
      <c r="C180" s="4" t="s">
        <v>202</v>
      </c>
      <c r="D180" s="9" t="s">
        <v>441</v>
      </c>
      <c r="E180" s="5" t="s">
        <v>167</v>
      </c>
      <c r="F180" s="6">
        <v>157</v>
      </c>
      <c r="G180" s="6">
        <v>815</v>
      </c>
      <c r="H180" s="6">
        <v>423</v>
      </c>
      <c r="I180" s="6">
        <v>392</v>
      </c>
      <c r="J180" s="17">
        <f t="shared" si="6"/>
        <v>926.71394799054372</v>
      </c>
      <c r="K180" s="6">
        <v>168</v>
      </c>
      <c r="L180" s="6">
        <v>82</v>
      </c>
      <c r="M180" s="6">
        <v>86</v>
      </c>
      <c r="N180" s="7">
        <f t="shared" si="7"/>
        <v>20.613496932515339</v>
      </c>
      <c r="O180" s="6">
        <v>584</v>
      </c>
      <c r="P180" s="6">
        <v>328</v>
      </c>
      <c r="Q180" s="6">
        <v>256</v>
      </c>
      <c r="R180" s="7">
        <v>79.672578444747614</v>
      </c>
      <c r="S180" s="7">
        <v>86.772486772486772</v>
      </c>
      <c r="T180" s="7">
        <v>72.112676056338032</v>
      </c>
      <c r="U180" s="15">
        <f t="shared" si="8"/>
        <v>1</v>
      </c>
    </row>
    <row r="181" spans="1:21" ht="18.75" customHeight="1">
      <c r="A181" s="16">
        <v>184</v>
      </c>
      <c r="B181" s="3">
        <v>37</v>
      </c>
      <c r="C181" s="4" t="s">
        <v>203</v>
      </c>
      <c r="D181" s="9" t="s">
        <v>441</v>
      </c>
      <c r="E181" s="5" t="s">
        <v>167</v>
      </c>
      <c r="F181" s="6">
        <v>142</v>
      </c>
      <c r="G181" s="6">
        <v>848</v>
      </c>
      <c r="H181" s="6">
        <v>438</v>
      </c>
      <c r="I181" s="6">
        <v>410</v>
      </c>
      <c r="J181" s="17">
        <f t="shared" si="6"/>
        <v>936.07305936073055</v>
      </c>
      <c r="K181" s="6">
        <v>128</v>
      </c>
      <c r="L181" s="6">
        <v>69</v>
      </c>
      <c r="M181" s="6">
        <v>59</v>
      </c>
      <c r="N181" s="7">
        <f t="shared" si="7"/>
        <v>15.09433962264151</v>
      </c>
      <c r="O181" s="6">
        <v>568</v>
      </c>
      <c r="P181" s="6">
        <v>318</v>
      </c>
      <c r="Q181" s="6">
        <v>250</v>
      </c>
      <c r="R181" s="7">
        <v>75.132275132275126</v>
      </c>
      <c r="S181" s="7">
        <v>81.958762886597938</v>
      </c>
      <c r="T181" s="7">
        <v>67.934782608695656</v>
      </c>
      <c r="U181" s="15">
        <f t="shared" si="8"/>
        <v>1</v>
      </c>
    </row>
    <row r="182" spans="1:21" ht="18.75" customHeight="1">
      <c r="A182" s="16">
        <v>185</v>
      </c>
      <c r="B182" s="3">
        <v>38</v>
      </c>
      <c r="C182" s="4" t="s">
        <v>204</v>
      </c>
      <c r="D182" s="9" t="s">
        <v>441</v>
      </c>
      <c r="E182" s="5" t="s">
        <v>167</v>
      </c>
      <c r="F182" s="6">
        <v>60</v>
      </c>
      <c r="G182" s="6">
        <v>305</v>
      </c>
      <c r="H182" s="6">
        <v>160</v>
      </c>
      <c r="I182" s="6">
        <v>145</v>
      </c>
      <c r="J182" s="17">
        <f t="shared" si="6"/>
        <v>906.25</v>
      </c>
      <c r="K182" s="6">
        <v>110</v>
      </c>
      <c r="L182" s="6">
        <v>56</v>
      </c>
      <c r="M182" s="6">
        <v>54</v>
      </c>
      <c r="N182" s="7">
        <f t="shared" si="7"/>
        <v>36.065573770491802</v>
      </c>
      <c r="O182" s="6">
        <v>208</v>
      </c>
      <c r="P182" s="6">
        <v>115</v>
      </c>
      <c r="Q182" s="6">
        <v>93</v>
      </c>
      <c r="R182" s="7">
        <v>75.63636363636364</v>
      </c>
      <c r="S182" s="7">
        <v>80.419580419580413</v>
      </c>
      <c r="T182" s="7">
        <v>70.454545454545453</v>
      </c>
      <c r="U182" s="15">
        <f t="shared" si="8"/>
        <v>1</v>
      </c>
    </row>
    <row r="183" spans="1:21" ht="18.75" customHeight="1">
      <c r="A183" s="16">
        <v>186</v>
      </c>
      <c r="B183" s="3">
        <v>39</v>
      </c>
      <c r="C183" s="4" t="s">
        <v>205</v>
      </c>
      <c r="D183" s="9" t="s">
        <v>441</v>
      </c>
      <c r="E183" s="5" t="s">
        <v>167</v>
      </c>
      <c r="F183" s="6">
        <v>561</v>
      </c>
      <c r="G183" s="6">
        <v>2865</v>
      </c>
      <c r="H183" s="6">
        <v>1481</v>
      </c>
      <c r="I183" s="6">
        <v>1384</v>
      </c>
      <c r="J183" s="17">
        <f t="shared" si="6"/>
        <v>934.50371370695473</v>
      </c>
      <c r="K183" s="6">
        <v>882</v>
      </c>
      <c r="L183" s="6">
        <v>454</v>
      </c>
      <c r="M183" s="6">
        <v>428</v>
      </c>
      <c r="N183" s="7">
        <f t="shared" si="7"/>
        <v>30.785340314136128</v>
      </c>
      <c r="O183" s="6">
        <v>1955</v>
      </c>
      <c r="P183" s="6">
        <v>1141</v>
      </c>
      <c r="Q183" s="6">
        <v>814</v>
      </c>
      <c r="R183" s="7">
        <v>78.83064516129032</v>
      </c>
      <c r="S183" s="7">
        <v>88.724727838258161</v>
      </c>
      <c r="T183" s="7">
        <v>68.174204355108884</v>
      </c>
      <c r="U183" s="15">
        <f t="shared" si="8"/>
        <v>1</v>
      </c>
    </row>
    <row r="184" spans="1:21" ht="18.75" customHeight="1">
      <c r="A184" s="16">
        <v>188</v>
      </c>
      <c r="B184" s="3">
        <v>41</v>
      </c>
      <c r="C184" s="4" t="s">
        <v>207</v>
      </c>
      <c r="D184" s="9" t="s">
        <v>441</v>
      </c>
      <c r="E184" s="5" t="s">
        <v>167</v>
      </c>
      <c r="F184" s="6">
        <v>113</v>
      </c>
      <c r="G184" s="6">
        <v>604</v>
      </c>
      <c r="H184" s="6">
        <v>342</v>
      </c>
      <c r="I184" s="6">
        <v>262</v>
      </c>
      <c r="J184" s="17">
        <f t="shared" si="6"/>
        <v>766.0818713450293</v>
      </c>
      <c r="K184" s="6">
        <v>58</v>
      </c>
      <c r="L184" s="6">
        <v>30</v>
      </c>
      <c r="M184" s="6">
        <v>28</v>
      </c>
      <c r="N184" s="7">
        <f t="shared" si="7"/>
        <v>9.6026490066225172</v>
      </c>
      <c r="O184" s="6">
        <v>389</v>
      </c>
      <c r="P184" s="6">
        <v>245</v>
      </c>
      <c r="Q184" s="6">
        <v>144</v>
      </c>
      <c r="R184" s="7">
        <v>74.807692307692307</v>
      </c>
      <c r="S184" s="7">
        <v>83.904109589041099</v>
      </c>
      <c r="T184" s="7">
        <v>63.157894736842103</v>
      </c>
      <c r="U184" s="15">
        <f t="shared" si="8"/>
        <v>3</v>
      </c>
    </row>
    <row r="185" spans="1:21" ht="18.75" customHeight="1">
      <c r="A185" s="16">
        <v>189</v>
      </c>
      <c r="B185" s="3">
        <v>42</v>
      </c>
      <c r="C185" s="4" t="s">
        <v>208</v>
      </c>
      <c r="D185" s="9" t="s">
        <v>441</v>
      </c>
      <c r="E185" s="5" t="s">
        <v>167</v>
      </c>
      <c r="F185" s="6">
        <v>629</v>
      </c>
      <c r="G185" s="6">
        <v>3289</v>
      </c>
      <c r="H185" s="6">
        <v>1707</v>
      </c>
      <c r="I185" s="6">
        <v>1582</v>
      </c>
      <c r="J185" s="17">
        <f t="shared" si="6"/>
        <v>926.77211482132395</v>
      </c>
      <c r="K185" s="6">
        <v>291</v>
      </c>
      <c r="L185" s="6">
        <v>146</v>
      </c>
      <c r="M185" s="6">
        <v>145</v>
      </c>
      <c r="N185" s="7">
        <f t="shared" si="7"/>
        <v>8.8476740650653696</v>
      </c>
      <c r="O185" s="6">
        <v>1973</v>
      </c>
      <c r="P185" s="6">
        <v>1167</v>
      </c>
      <c r="Q185" s="6">
        <v>806</v>
      </c>
      <c r="R185" s="7">
        <v>69.398522687302147</v>
      </c>
      <c r="S185" s="7">
        <v>79.172320217096342</v>
      </c>
      <c r="T185" s="7">
        <v>58.875091307523739</v>
      </c>
      <c r="U185" s="15">
        <f t="shared" si="8"/>
        <v>1</v>
      </c>
    </row>
    <row r="186" spans="1:21" ht="18.75" customHeight="1">
      <c r="A186" s="16">
        <v>190</v>
      </c>
      <c r="B186" s="3">
        <v>43</v>
      </c>
      <c r="C186" s="4" t="s">
        <v>209</v>
      </c>
      <c r="D186" s="9" t="s">
        <v>441</v>
      </c>
      <c r="E186" s="5" t="s">
        <v>167</v>
      </c>
      <c r="F186" s="6">
        <v>594</v>
      </c>
      <c r="G186" s="6">
        <v>3341</v>
      </c>
      <c r="H186" s="6">
        <v>1756</v>
      </c>
      <c r="I186" s="6">
        <v>1585</v>
      </c>
      <c r="J186" s="17">
        <f t="shared" si="6"/>
        <v>902.61958997722093</v>
      </c>
      <c r="K186" s="6">
        <v>738</v>
      </c>
      <c r="L186" s="6">
        <v>387</v>
      </c>
      <c r="M186" s="6">
        <v>351</v>
      </c>
      <c r="N186" s="7">
        <f t="shared" si="7"/>
        <v>22.089194851840766</v>
      </c>
      <c r="O186" s="6">
        <v>2231</v>
      </c>
      <c r="P186" s="6">
        <v>1269</v>
      </c>
      <c r="Q186" s="6">
        <v>962</v>
      </c>
      <c r="R186" s="7">
        <v>76.614010989010993</v>
      </c>
      <c r="S186" s="7">
        <v>83.873099801718439</v>
      </c>
      <c r="T186" s="7">
        <v>68.763402430307366</v>
      </c>
      <c r="U186" s="15">
        <f t="shared" si="8"/>
        <v>1</v>
      </c>
    </row>
    <row r="187" spans="1:21" ht="18.75" customHeight="1">
      <c r="A187" s="16">
        <v>191</v>
      </c>
      <c r="B187" s="3">
        <v>44</v>
      </c>
      <c r="C187" s="4" t="s">
        <v>210</v>
      </c>
      <c r="D187" s="9" t="s">
        <v>441</v>
      </c>
      <c r="E187" s="5" t="s">
        <v>167</v>
      </c>
      <c r="F187" s="6">
        <v>285</v>
      </c>
      <c r="G187" s="6">
        <v>1370</v>
      </c>
      <c r="H187" s="6">
        <v>743</v>
      </c>
      <c r="I187" s="6">
        <v>627</v>
      </c>
      <c r="J187" s="17">
        <f t="shared" si="6"/>
        <v>843.87617765814275</v>
      </c>
      <c r="K187" s="6">
        <v>525</v>
      </c>
      <c r="L187" s="6">
        <v>287</v>
      </c>
      <c r="M187" s="6">
        <v>238</v>
      </c>
      <c r="N187" s="7">
        <f t="shared" si="7"/>
        <v>38.321167883211679</v>
      </c>
      <c r="O187" s="6">
        <v>567</v>
      </c>
      <c r="P187" s="6">
        <v>342</v>
      </c>
      <c r="Q187" s="6">
        <v>225</v>
      </c>
      <c r="R187" s="7">
        <v>49.433304272013949</v>
      </c>
      <c r="S187" s="7">
        <v>55.791190864600324</v>
      </c>
      <c r="T187" s="7">
        <v>42.134831460674157</v>
      </c>
      <c r="U187" s="15">
        <f t="shared" si="8"/>
        <v>2</v>
      </c>
    </row>
    <row r="188" spans="1:21" ht="18.75" customHeight="1">
      <c r="A188" s="16">
        <v>192</v>
      </c>
      <c r="B188" s="3">
        <v>45</v>
      </c>
      <c r="C188" s="4" t="s">
        <v>211</v>
      </c>
      <c r="D188" s="9" t="s">
        <v>441</v>
      </c>
      <c r="E188" s="5" t="s">
        <v>167</v>
      </c>
      <c r="F188" s="6">
        <v>677</v>
      </c>
      <c r="G188" s="6">
        <v>3601</v>
      </c>
      <c r="H188" s="6">
        <v>1908</v>
      </c>
      <c r="I188" s="6">
        <v>1693</v>
      </c>
      <c r="J188" s="17">
        <f t="shared" si="6"/>
        <v>887.31656184486371</v>
      </c>
      <c r="K188" s="6">
        <v>1158</v>
      </c>
      <c r="L188" s="6">
        <v>613</v>
      </c>
      <c r="M188" s="6">
        <v>545</v>
      </c>
      <c r="N188" s="7">
        <f t="shared" si="7"/>
        <v>32.157733962788114</v>
      </c>
      <c r="O188" s="6">
        <v>2531</v>
      </c>
      <c r="P188" s="6">
        <v>1457</v>
      </c>
      <c r="Q188" s="6">
        <v>1074</v>
      </c>
      <c r="R188" s="7">
        <v>79.217527386541477</v>
      </c>
      <c r="S188" s="7">
        <v>85.705882352941174</v>
      </c>
      <c r="T188" s="7">
        <v>71.839464882943147</v>
      </c>
      <c r="U188" s="15">
        <f t="shared" si="8"/>
        <v>2</v>
      </c>
    </row>
    <row r="189" spans="1:21" ht="18.75" customHeight="1">
      <c r="A189" s="16">
        <v>193</v>
      </c>
      <c r="B189" s="3">
        <v>46</v>
      </c>
      <c r="C189" s="4" t="s">
        <v>212</v>
      </c>
      <c r="D189" s="9" t="s">
        <v>441</v>
      </c>
      <c r="E189" s="5" t="s">
        <v>167</v>
      </c>
      <c r="F189" s="6">
        <v>140</v>
      </c>
      <c r="G189" s="6">
        <v>805</v>
      </c>
      <c r="H189" s="6">
        <v>430</v>
      </c>
      <c r="I189" s="6">
        <v>375</v>
      </c>
      <c r="J189" s="17">
        <f t="shared" ref="J189:J252" si="9">I189/H189*1000</f>
        <v>872.09302325581393</v>
      </c>
      <c r="K189" s="6">
        <v>193</v>
      </c>
      <c r="L189" s="6">
        <v>101</v>
      </c>
      <c r="M189" s="6">
        <v>92</v>
      </c>
      <c r="N189" s="7">
        <f t="shared" ref="N189:N252" si="10">K189/G189*100</f>
        <v>23.975155279503106</v>
      </c>
      <c r="O189" s="6">
        <v>528</v>
      </c>
      <c r="P189" s="6">
        <v>315</v>
      </c>
      <c r="Q189" s="6">
        <v>213</v>
      </c>
      <c r="R189" s="7">
        <v>75</v>
      </c>
      <c r="S189" s="7">
        <v>84.224598930481292</v>
      </c>
      <c r="T189" s="7">
        <v>64.545454545454547</v>
      </c>
      <c r="U189" s="15">
        <f t="shared" si="8"/>
        <v>2</v>
      </c>
    </row>
    <row r="190" spans="1:21" ht="18.75" customHeight="1">
      <c r="A190" s="16">
        <v>194</v>
      </c>
      <c r="B190" s="3">
        <v>47</v>
      </c>
      <c r="C190" s="4" t="s">
        <v>213</v>
      </c>
      <c r="D190" s="9" t="s">
        <v>441</v>
      </c>
      <c r="E190" s="5" t="s">
        <v>167</v>
      </c>
      <c r="F190" s="6">
        <v>201</v>
      </c>
      <c r="G190" s="6">
        <v>1011</v>
      </c>
      <c r="H190" s="6">
        <v>532</v>
      </c>
      <c r="I190" s="6">
        <v>479</v>
      </c>
      <c r="J190" s="17">
        <f t="shared" si="9"/>
        <v>900.37593984962405</v>
      </c>
      <c r="K190" s="6">
        <v>344</v>
      </c>
      <c r="L190" s="6">
        <v>186</v>
      </c>
      <c r="M190" s="6">
        <v>158</v>
      </c>
      <c r="N190" s="7">
        <f t="shared" si="10"/>
        <v>34.025717111770525</v>
      </c>
      <c r="O190" s="6">
        <v>670</v>
      </c>
      <c r="P190" s="6">
        <v>402</v>
      </c>
      <c r="Q190" s="6">
        <v>268</v>
      </c>
      <c r="R190" s="7">
        <v>75.535512965050728</v>
      </c>
      <c r="S190" s="7">
        <v>85.531914893617028</v>
      </c>
      <c r="T190" s="7">
        <v>64.268585131894483</v>
      </c>
      <c r="U190" s="15">
        <f t="shared" ref="U190:U253" si="11">IF($J190&gt;900,1,IF($J190&gt;800,2,IF($J190&gt;700,3,0)))</f>
        <v>1</v>
      </c>
    </row>
    <row r="191" spans="1:21" ht="18.75" customHeight="1">
      <c r="A191" s="16">
        <v>195</v>
      </c>
      <c r="B191" s="3">
        <v>48</v>
      </c>
      <c r="C191" s="4" t="s">
        <v>214</v>
      </c>
      <c r="D191" s="9" t="s">
        <v>441</v>
      </c>
      <c r="E191" s="5" t="s">
        <v>167</v>
      </c>
      <c r="F191" s="6">
        <v>253</v>
      </c>
      <c r="G191" s="6">
        <v>1286</v>
      </c>
      <c r="H191" s="6">
        <v>672</v>
      </c>
      <c r="I191" s="6">
        <v>614</v>
      </c>
      <c r="J191" s="17">
        <f t="shared" si="9"/>
        <v>913.69047619047615</v>
      </c>
      <c r="K191" s="6">
        <v>654</v>
      </c>
      <c r="L191" s="6">
        <v>351</v>
      </c>
      <c r="M191" s="6">
        <v>303</v>
      </c>
      <c r="N191" s="7">
        <f t="shared" si="10"/>
        <v>50.855365474339031</v>
      </c>
      <c r="O191" s="6">
        <v>830</v>
      </c>
      <c r="P191" s="6">
        <v>485</v>
      </c>
      <c r="Q191" s="6">
        <v>345</v>
      </c>
      <c r="R191" s="7">
        <v>74.306177260519249</v>
      </c>
      <c r="S191" s="7">
        <v>84.34782608695653</v>
      </c>
      <c r="T191" s="7">
        <v>63.65313653136532</v>
      </c>
      <c r="U191" s="15">
        <f t="shared" si="11"/>
        <v>1</v>
      </c>
    </row>
    <row r="192" spans="1:21" ht="18.75" customHeight="1">
      <c r="A192" s="16">
        <v>196</v>
      </c>
      <c r="B192" s="3">
        <v>49</v>
      </c>
      <c r="C192" s="4" t="s">
        <v>215</v>
      </c>
      <c r="D192" s="9" t="s">
        <v>441</v>
      </c>
      <c r="E192" s="5" t="s">
        <v>167</v>
      </c>
      <c r="F192" s="6">
        <v>136</v>
      </c>
      <c r="G192" s="6">
        <v>651</v>
      </c>
      <c r="H192" s="6">
        <v>349</v>
      </c>
      <c r="I192" s="6">
        <v>302</v>
      </c>
      <c r="J192" s="17">
        <f t="shared" si="9"/>
        <v>865.32951289398284</v>
      </c>
      <c r="K192" s="6">
        <v>392</v>
      </c>
      <c r="L192" s="6">
        <v>214</v>
      </c>
      <c r="M192" s="6">
        <v>178</v>
      </c>
      <c r="N192" s="7">
        <f t="shared" si="10"/>
        <v>60.215053763440864</v>
      </c>
      <c r="O192" s="6">
        <v>435</v>
      </c>
      <c r="P192" s="6">
        <v>265</v>
      </c>
      <c r="Q192" s="6">
        <v>170</v>
      </c>
      <c r="R192" s="7">
        <v>75.65217391304347</v>
      </c>
      <c r="S192" s="7">
        <v>86.038961038961034</v>
      </c>
      <c r="T192" s="7">
        <v>63.670411985018724</v>
      </c>
      <c r="U192" s="15">
        <f t="shared" si="11"/>
        <v>2</v>
      </c>
    </row>
    <row r="193" spans="1:21" ht="18.75" customHeight="1">
      <c r="A193" s="16">
        <v>197</v>
      </c>
      <c r="B193" s="3">
        <v>50</v>
      </c>
      <c r="C193" s="4" t="s">
        <v>216</v>
      </c>
      <c r="D193" s="9" t="s">
        <v>441</v>
      </c>
      <c r="E193" s="5" t="s">
        <v>167</v>
      </c>
      <c r="F193" s="6">
        <v>272</v>
      </c>
      <c r="G193" s="6">
        <v>1498</v>
      </c>
      <c r="H193" s="6">
        <v>811</v>
      </c>
      <c r="I193" s="6">
        <v>687</v>
      </c>
      <c r="J193" s="17">
        <f t="shared" si="9"/>
        <v>847.10234278668304</v>
      </c>
      <c r="K193" s="6">
        <v>150</v>
      </c>
      <c r="L193" s="6">
        <v>78</v>
      </c>
      <c r="M193" s="6">
        <v>72</v>
      </c>
      <c r="N193" s="7">
        <f t="shared" si="10"/>
        <v>10.013351134846461</v>
      </c>
      <c r="O193" s="6">
        <v>1044</v>
      </c>
      <c r="P193" s="6">
        <v>644</v>
      </c>
      <c r="Q193" s="6">
        <v>400</v>
      </c>
      <c r="R193" s="7">
        <v>78.614457831325296</v>
      </c>
      <c r="S193" s="7">
        <v>90.322580645161281</v>
      </c>
      <c r="T193" s="7">
        <v>65.040650406504056</v>
      </c>
      <c r="U193" s="15">
        <f t="shared" si="11"/>
        <v>2</v>
      </c>
    </row>
    <row r="194" spans="1:21" ht="18.75" customHeight="1">
      <c r="A194" s="16">
        <v>198</v>
      </c>
      <c r="B194" s="3">
        <v>51</v>
      </c>
      <c r="C194" s="4" t="s">
        <v>217</v>
      </c>
      <c r="D194" s="9" t="s">
        <v>441</v>
      </c>
      <c r="E194" s="5" t="s">
        <v>167</v>
      </c>
      <c r="F194" s="6">
        <v>263</v>
      </c>
      <c r="G194" s="6">
        <v>1390</v>
      </c>
      <c r="H194" s="6">
        <v>718</v>
      </c>
      <c r="I194" s="6">
        <v>672</v>
      </c>
      <c r="J194" s="17">
        <f t="shared" si="9"/>
        <v>935.93314763231194</v>
      </c>
      <c r="K194" s="6">
        <v>295</v>
      </c>
      <c r="L194" s="6">
        <v>156</v>
      </c>
      <c r="M194" s="6">
        <v>139</v>
      </c>
      <c r="N194" s="7">
        <f t="shared" si="10"/>
        <v>21.223021582733814</v>
      </c>
      <c r="O194" s="6">
        <v>951</v>
      </c>
      <c r="P194" s="6">
        <v>540</v>
      </c>
      <c r="Q194" s="6">
        <v>411</v>
      </c>
      <c r="R194" s="7">
        <v>77.317073170731703</v>
      </c>
      <c r="S194" s="7">
        <v>85.308056872037923</v>
      </c>
      <c r="T194" s="7">
        <v>68.844221105527637</v>
      </c>
      <c r="U194" s="15">
        <f t="shared" si="11"/>
        <v>1</v>
      </c>
    </row>
    <row r="195" spans="1:21" ht="18.75" customHeight="1">
      <c r="A195" s="16">
        <v>199</v>
      </c>
      <c r="B195" s="3">
        <v>52</v>
      </c>
      <c r="C195" s="4" t="s">
        <v>218</v>
      </c>
      <c r="D195" s="9" t="s">
        <v>441</v>
      </c>
      <c r="E195" s="5" t="s">
        <v>167</v>
      </c>
      <c r="F195" s="6">
        <v>218</v>
      </c>
      <c r="G195" s="6">
        <v>1138</v>
      </c>
      <c r="H195" s="6">
        <v>601</v>
      </c>
      <c r="I195" s="6">
        <v>537</v>
      </c>
      <c r="J195" s="17">
        <f t="shared" si="9"/>
        <v>893.51081530782028</v>
      </c>
      <c r="K195" s="6">
        <v>483</v>
      </c>
      <c r="L195" s="6">
        <v>253</v>
      </c>
      <c r="M195" s="6">
        <v>230</v>
      </c>
      <c r="N195" s="7">
        <f t="shared" si="10"/>
        <v>42.442882249560633</v>
      </c>
      <c r="O195" s="6">
        <v>748</v>
      </c>
      <c r="P195" s="6">
        <v>450</v>
      </c>
      <c r="Q195" s="6">
        <v>298</v>
      </c>
      <c r="R195" s="7">
        <v>76.248725790010198</v>
      </c>
      <c r="S195" s="7">
        <v>86.872586872586879</v>
      </c>
      <c r="T195" s="7">
        <v>64.362850971922242</v>
      </c>
      <c r="U195" s="15">
        <f t="shared" si="11"/>
        <v>2</v>
      </c>
    </row>
    <row r="196" spans="1:21" ht="18.75" customHeight="1">
      <c r="A196" s="16">
        <v>200</v>
      </c>
      <c r="B196" s="3">
        <v>53</v>
      </c>
      <c r="C196" s="4" t="s">
        <v>219</v>
      </c>
      <c r="D196" s="9" t="s">
        <v>441</v>
      </c>
      <c r="E196" s="5" t="s">
        <v>167</v>
      </c>
      <c r="F196" s="6">
        <v>321</v>
      </c>
      <c r="G196" s="6">
        <v>1877</v>
      </c>
      <c r="H196" s="6">
        <v>980</v>
      </c>
      <c r="I196" s="6">
        <v>897</v>
      </c>
      <c r="J196" s="17">
        <f t="shared" si="9"/>
        <v>915.30612244897952</v>
      </c>
      <c r="K196" s="6">
        <v>452</v>
      </c>
      <c r="L196" s="6">
        <v>237</v>
      </c>
      <c r="M196" s="6">
        <v>215</v>
      </c>
      <c r="N196" s="7">
        <f t="shared" si="10"/>
        <v>24.080980287693126</v>
      </c>
      <c r="O196" s="6">
        <v>1313</v>
      </c>
      <c r="P196" s="6">
        <v>749</v>
      </c>
      <c r="Q196" s="6">
        <v>564</v>
      </c>
      <c r="R196" s="7">
        <v>77.463126843657818</v>
      </c>
      <c r="S196" s="7">
        <v>85.894495412844037</v>
      </c>
      <c r="T196" s="7">
        <v>68.529769137302551</v>
      </c>
      <c r="U196" s="15">
        <f t="shared" si="11"/>
        <v>1</v>
      </c>
    </row>
    <row r="197" spans="1:21" ht="18.75" customHeight="1">
      <c r="A197" s="16">
        <v>201</v>
      </c>
      <c r="B197" s="3">
        <v>1</v>
      </c>
      <c r="C197" s="4" t="s">
        <v>220</v>
      </c>
      <c r="D197" s="9" t="s">
        <v>441</v>
      </c>
      <c r="E197" s="5" t="s">
        <v>221</v>
      </c>
      <c r="F197" s="6">
        <v>1338</v>
      </c>
      <c r="G197" s="6">
        <v>6984</v>
      </c>
      <c r="H197" s="6">
        <v>3710</v>
      </c>
      <c r="I197" s="6">
        <v>3274</v>
      </c>
      <c r="J197" s="17">
        <f t="shared" si="9"/>
        <v>882.47978436657684</v>
      </c>
      <c r="K197" s="6">
        <v>1942</v>
      </c>
      <c r="L197" s="6">
        <v>1000</v>
      </c>
      <c r="M197" s="6">
        <v>942</v>
      </c>
      <c r="N197" s="7">
        <f t="shared" si="10"/>
        <v>27.806414662084766</v>
      </c>
      <c r="O197" s="6">
        <v>4731</v>
      </c>
      <c r="P197" s="6">
        <v>2672</v>
      </c>
      <c r="Q197" s="6">
        <v>2059</v>
      </c>
      <c r="R197" s="7">
        <v>77.519252826478777</v>
      </c>
      <c r="S197" s="7">
        <v>82.750077423350888</v>
      </c>
      <c r="T197" s="7">
        <v>71.642310368823942</v>
      </c>
      <c r="U197" s="15">
        <f t="shared" si="11"/>
        <v>2</v>
      </c>
    </row>
    <row r="198" spans="1:21" ht="18.75" customHeight="1">
      <c r="A198" s="16">
        <v>202</v>
      </c>
      <c r="B198" s="3">
        <v>2</v>
      </c>
      <c r="C198" s="4" t="s">
        <v>222</v>
      </c>
      <c r="D198" s="9" t="s">
        <v>441</v>
      </c>
      <c r="E198" s="5" t="s">
        <v>221</v>
      </c>
      <c r="F198" s="6">
        <v>332</v>
      </c>
      <c r="G198" s="6">
        <v>1799</v>
      </c>
      <c r="H198" s="6">
        <v>955</v>
      </c>
      <c r="I198" s="6">
        <v>844</v>
      </c>
      <c r="J198" s="17">
        <f t="shared" si="9"/>
        <v>883.76963350785343</v>
      </c>
      <c r="K198" s="6">
        <v>181</v>
      </c>
      <c r="L198" s="6">
        <v>91</v>
      </c>
      <c r="M198" s="6">
        <v>90</v>
      </c>
      <c r="N198" s="7">
        <f t="shared" si="10"/>
        <v>10.061145080600333</v>
      </c>
      <c r="O198" s="6">
        <v>1179</v>
      </c>
      <c r="P198" s="6">
        <v>692</v>
      </c>
      <c r="Q198" s="6">
        <v>487</v>
      </c>
      <c r="R198" s="7">
        <v>74.104336895034578</v>
      </c>
      <c r="S198" s="7">
        <v>82.38095238095238</v>
      </c>
      <c r="T198" s="7">
        <v>64.846870838881486</v>
      </c>
      <c r="U198" s="15">
        <f t="shared" si="11"/>
        <v>2</v>
      </c>
    </row>
    <row r="199" spans="1:21" ht="18.75" customHeight="1">
      <c r="A199" s="16">
        <v>203</v>
      </c>
      <c r="B199" s="3">
        <v>3</v>
      </c>
      <c r="C199" s="4" t="s">
        <v>223</v>
      </c>
      <c r="D199" s="9" t="s">
        <v>441</v>
      </c>
      <c r="E199" s="5" t="s">
        <v>221</v>
      </c>
      <c r="F199" s="6">
        <v>332</v>
      </c>
      <c r="G199" s="6">
        <v>1764</v>
      </c>
      <c r="H199" s="6">
        <v>928</v>
      </c>
      <c r="I199" s="6">
        <v>836</v>
      </c>
      <c r="J199" s="17">
        <f t="shared" si="9"/>
        <v>900.86206896551721</v>
      </c>
      <c r="K199" s="6">
        <v>576</v>
      </c>
      <c r="L199" s="6">
        <v>298</v>
      </c>
      <c r="M199" s="6">
        <v>278</v>
      </c>
      <c r="N199" s="7">
        <f t="shared" si="10"/>
        <v>32.653061224489797</v>
      </c>
      <c r="O199" s="6">
        <v>1103</v>
      </c>
      <c r="P199" s="6">
        <v>664</v>
      </c>
      <c r="Q199" s="6">
        <v>439</v>
      </c>
      <c r="R199" s="7">
        <v>70.434227330779052</v>
      </c>
      <c r="S199" s="7">
        <v>80.680437424058326</v>
      </c>
      <c r="T199" s="7">
        <v>59.084791386271874</v>
      </c>
      <c r="U199" s="15">
        <f t="shared" si="11"/>
        <v>1</v>
      </c>
    </row>
    <row r="200" spans="1:21" ht="18.75" customHeight="1">
      <c r="A200" s="16">
        <v>204</v>
      </c>
      <c r="B200" s="3">
        <v>4</v>
      </c>
      <c r="C200" s="4" t="s">
        <v>224</v>
      </c>
      <c r="D200" s="9" t="s">
        <v>441</v>
      </c>
      <c r="E200" s="5" t="s">
        <v>221</v>
      </c>
      <c r="F200" s="6">
        <v>203</v>
      </c>
      <c r="G200" s="6">
        <v>1096</v>
      </c>
      <c r="H200" s="6">
        <v>575</v>
      </c>
      <c r="I200" s="6">
        <v>521</v>
      </c>
      <c r="J200" s="17">
        <f t="shared" si="9"/>
        <v>906.08695652173913</v>
      </c>
      <c r="K200" s="6">
        <v>140</v>
      </c>
      <c r="L200" s="6">
        <v>72</v>
      </c>
      <c r="M200" s="6">
        <v>68</v>
      </c>
      <c r="N200" s="7">
        <f t="shared" si="10"/>
        <v>12.773722627737227</v>
      </c>
      <c r="O200" s="6">
        <v>718</v>
      </c>
      <c r="P200" s="6">
        <v>430</v>
      </c>
      <c r="Q200" s="6">
        <v>288</v>
      </c>
      <c r="R200" s="7">
        <v>72.819472616632865</v>
      </c>
      <c r="S200" s="7">
        <v>82.061068702290072</v>
      </c>
      <c r="T200" s="7">
        <v>62.337662337662337</v>
      </c>
      <c r="U200" s="15">
        <f t="shared" si="11"/>
        <v>1</v>
      </c>
    </row>
    <row r="201" spans="1:21" ht="18.75" customHeight="1">
      <c r="A201" s="16">
        <v>205</v>
      </c>
      <c r="B201" s="3">
        <v>5</v>
      </c>
      <c r="C201" s="4" t="s">
        <v>225</v>
      </c>
      <c r="D201" s="9" t="s">
        <v>441</v>
      </c>
      <c r="E201" s="5" t="s">
        <v>221</v>
      </c>
      <c r="F201" s="6">
        <v>339</v>
      </c>
      <c r="G201" s="6">
        <v>1763</v>
      </c>
      <c r="H201" s="6">
        <v>950</v>
      </c>
      <c r="I201" s="6">
        <v>813</v>
      </c>
      <c r="J201" s="17">
        <f t="shared" si="9"/>
        <v>855.78947368421052</v>
      </c>
      <c r="K201" s="6">
        <v>371</v>
      </c>
      <c r="L201" s="6">
        <v>204</v>
      </c>
      <c r="M201" s="6">
        <v>167</v>
      </c>
      <c r="N201" s="7">
        <f t="shared" si="10"/>
        <v>21.0436755530346</v>
      </c>
      <c r="O201" s="6">
        <v>1088</v>
      </c>
      <c r="P201" s="6">
        <v>643</v>
      </c>
      <c r="Q201" s="6">
        <v>445</v>
      </c>
      <c r="R201" s="7">
        <v>70.284237726098183</v>
      </c>
      <c r="S201" s="7">
        <v>77.563329312424614</v>
      </c>
      <c r="T201" s="7">
        <v>61.891515994436716</v>
      </c>
      <c r="U201" s="15">
        <f t="shared" si="11"/>
        <v>2</v>
      </c>
    </row>
    <row r="202" spans="1:21" ht="18.75" customHeight="1">
      <c r="A202" s="16">
        <v>206</v>
      </c>
      <c r="B202" s="3">
        <v>6</v>
      </c>
      <c r="C202" s="4" t="s">
        <v>226</v>
      </c>
      <c r="D202" s="9" t="s">
        <v>441</v>
      </c>
      <c r="E202" s="5" t="s">
        <v>221</v>
      </c>
      <c r="F202" s="6">
        <v>154</v>
      </c>
      <c r="G202" s="6">
        <v>838</v>
      </c>
      <c r="H202" s="6">
        <v>427</v>
      </c>
      <c r="I202" s="6">
        <v>411</v>
      </c>
      <c r="J202" s="17">
        <f t="shared" si="9"/>
        <v>962.52927400468377</v>
      </c>
      <c r="K202" s="6">
        <v>181</v>
      </c>
      <c r="L202" s="6">
        <v>98</v>
      </c>
      <c r="M202" s="6">
        <v>83</v>
      </c>
      <c r="N202" s="7">
        <f t="shared" si="10"/>
        <v>21.599045346062052</v>
      </c>
      <c r="O202" s="6">
        <v>610</v>
      </c>
      <c r="P202" s="6">
        <v>339</v>
      </c>
      <c r="Q202" s="6">
        <v>271</v>
      </c>
      <c r="R202" s="7">
        <v>82.210242587601073</v>
      </c>
      <c r="S202" s="7">
        <v>89.92042440318302</v>
      </c>
      <c r="T202" s="7">
        <v>74.246575342465746</v>
      </c>
      <c r="U202" s="15">
        <f t="shared" si="11"/>
        <v>1</v>
      </c>
    </row>
    <row r="203" spans="1:21" ht="18.75" customHeight="1">
      <c r="A203" s="16">
        <v>207</v>
      </c>
      <c r="B203" s="3">
        <v>7</v>
      </c>
      <c r="C203" s="4" t="s">
        <v>227</v>
      </c>
      <c r="D203" s="9" t="s">
        <v>441</v>
      </c>
      <c r="E203" s="5" t="s">
        <v>221</v>
      </c>
      <c r="F203" s="6">
        <v>206</v>
      </c>
      <c r="G203" s="6">
        <v>1063</v>
      </c>
      <c r="H203" s="6">
        <v>568</v>
      </c>
      <c r="I203" s="6">
        <v>495</v>
      </c>
      <c r="J203" s="17">
        <f t="shared" si="9"/>
        <v>871.47887323943667</v>
      </c>
      <c r="K203" s="6">
        <v>175</v>
      </c>
      <c r="L203" s="6">
        <v>102</v>
      </c>
      <c r="M203" s="6">
        <v>73</v>
      </c>
      <c r="N203" s="7">
        <f t="shared" si="10"/>
        <v>16.462841015992474</v>
      </c>
      <c r="O203" s="6">
        <v>762</v>
      </c>
      <c r="P203" s="6">
        <v>446</v>
      </c>
      <c r="Q203" s="6">
        <v>316</v>
      </c>
      <c r="R203" s="7">
        <v>80.295047418335088</v>
      </c>
      <c r="S203" s="7">
        <v>88.66799204771371</v>
      </c>
      <c r="T203" s="7">
        <v>70.852017937219742</v>
      </c>
      <c r="U203" s="15">
        <f t="shared" si="11"/>
        <v>2</v>
      </c>
    </row>
    <row r="204" spans="1:21" ht="18.75" customHeight="1">
      <c r="A204" s="16">
        <v>208</v>
      </c>
      <c r="B204" s="3">
        <v>8</v>
      </c>
      <c r="C204" s="4" t="s">
        <v>228</v>
      </c>
      <c r="D204" s="9" t="s">
        <v>441</v>
      </c>
      <c r="E204" s="5" t="s">
        <v>221</v>
      </c>
      <c r="F204" s="6">
        <v>212</v>
      </c>
      <c r="G204" s="6">
        <v>1260</v>
      </c>
      <c r="H204" s="6">
        <v>671</v>
      </c>
      <c r="I204" s="6">
        <v>589</v>
      </c>
      <c r="J204" s="17">
        <f t="shared" si="9"/>
        <v>877.79433681073021</v>
      </c>
      <c r="K204" s="6">
        <v>52</v>
      </c>
      <c r="L204" s="6">
        <v>25</v>
      </c>
      <c r="M204" s="6">
        <v>27</v>
      </c>
      <c r="N204" s="7">
        <f t="shared" si="10"/>
        <v>4.1269841269841265</v>
      </c>
      <c r="O204" s="6">
        <v>820</v>
      </c>
      <c r="P204" s="6">
        <v>467</v>
      </c>
      <c r="Q204" s="6">
        <v>353</v>
      </c>
      <c r="R204" s="7">
        <v>73.940486925157799</v>
      </c>
      <c r="S204" s="7">
        <v>78.752107925801013</v>
      </c>
      <c r="T204" s="7">
        <v>68.410852713178301</v>
      </c>
      <c r="U204" s="15">
        <f t="shared" si="11"/>
        <v>2</v>
      </c>
    </row>
    <row r="205" spans="1:21" ht="18.75" customHeight="1">
      <c r="A205" s="16">
        <v>209</v>
      </c>
      <c r="B205" s="3">
        <v>9</v>
      </c>
      <c r="C205" s="4" t="s">
        <v>229</v>
      </c>
      <c r="D205" s="9" t="s">
        <v>441</v>
      </c>
      <c r="E205" s="5" t="s">
        <v>221</v>
      </c>
      <c r="F205" s="6">
        <v>384</v>
      </c>
      <c r="G205" s="6">
        <v>2176</v>
      </c>
      <c r="H205" s="6">
        <v>1126</v>
      </c>
      <c r="I205" s="6">
        <v>1050</v>
      </c>
      <c r="J205" s="17">
        <f t="shared" si="9"/>
        <v>932.50444049733574</v>
      </c>
      <c r="K205" s="6">
        <v>300</v>
      </c>
      <c r="L205" s="6">
        <v>159</v>
      </c>
      <c r="M205" s="6">
        <v>141</v>
      </c>
      <c r="N205" s="7">
        <f t="shared" si="10"/>
        <v>13.786764705882353</v>
      </c>
      <c r="O205" s="6">
        <v>1551</v>
      </c>
      <c r="P205" s="6">
        <v>891</v>
      </c>
      <c r="Q205" s="6">
        <v>660</v>
      </c>
      <c r="R205" s="7">
        <v>78.851042196237927</v>
      </c>
      <c r="S205" s="7">
        <v>88.480635551142001</v>
      </c>
      <c r="T205" s="7">
        <v>68.75</v>
      </c>
      <c r="U205" s="15">
        <f t="shared" si="11"/>
        <v>1</v>
      </c>
    </row>
    <row r="206" spans="1:21" ht="18.75" customHeight="1">
      <c r="A206" s="16">
        <v>210</v>
      </c>
      <c r="B206" s="3">
        <v>10</v>
      </c>
      <c r="C206" s="4" t="s">
        <v>230</v>
      </c>
      <c r="D206" s="9" t="s">
        <v>441</v>
      </c>
      <c r="E206" s="5" t="s">
        <v>221</v>
      </c>
      <c r="F206" s="6">
        <v>174</v>
      </c>
      <c r="G206" s="6">
        <v>939</v>
      </c>
      <c r="H206" s="6">
        <v>470</v>
      </c>
      <c r="I206" s="6">
        <v>469</v>
      </c>
      <c r="J206" s="17">
        <f t="shared" si="9"/>
        <v>997.872340425532</v>
      </c>
      <c r="K206" s="6">
        <v>158</v>
      </c>
      <c r="L206" s="6">
        <v>80</v>
      </c>
      <c r="M206" s="6">
        <v>78</v>
      </c>
      <c r="N206" s="7">
        <f t="shared" si="10"/>
        <v>16.826411075612356</v>
      </c>
      <c r="O206" s="6">
        <v>630</v>
      </c>
      <c r="P206" s="6">
        <v>349</v>
      </c>
      <c r="Q206" s="6">
        <v>281</v>
      </c>
      <c r="R206" s="7">
        <v>75.358851674641144</v>
      </c>
      <c r="S206" s="7">
        <v>82.505910165484636</v>
      </c>
      <c r="T206" s="7">
        <v>68.038740920096856</v>
      </c>
      <c r="U206" s="15">
        <f t="shared" si="11"/>
        <v>1</v>
      </c>
    </row>
    <row r="207" spans="1:21" ht="18.75" customHeight="1">
      <c r="A207" s="16">
        <v>211</v>
      </c>
      <c r="B207" s="3">
        <v>11</v>
      </c>
      <c r="C207" s="4" t="s">
        <v>231</v>
      </c>
      <c r="D207" s="9" t="s">
        <v>441</v>
      </c>
      <c r="E207" s="5" t="s">
        <v>221</v>
      </c>
      <c r="F207" s="6">
        <v>227</v>
      </c>
      <c r="G207" s="6">
        <v>1251</v>
      </c>
      <c r="H207" s="6">
        <v>649</v>
      </c>
      <c r="I207" s="6">
        <v>602</v>
      </c>
      <c r="J207" s="17">
        <f t="shared" si="9"/>
        <v>927.58089368258857</v>
      </c>
      <c r="K207" s="6">
        <v>262</v>
      </c>
      <c r="L207" s="6">
        <v>144</v>
      </c>
      <c r="M207" s="6">
        <v>118</v>
      </c>
      <c r="N207" s="7">
        <f t="shared" si="10"/>
        <v>20.943245403677057</v>
      </c>
      <c r="O207" s="6">
        <v>864</v>
      </c>
      <c r="P207" s="6">
        <v>477</v>
      </c>
      <c r="Q207" s="6">
        <v>387</v>
      </c>
      <c r="R207" s="7">
        <v>80.44692737430168</v>
      </c>
      <c r="S207" s="7">
        <v>86.41304347826086</v>
      </c>
      <c r="T207" s="7">
        <v>74.137931034482762</v>
      </c>
      <c r="U207" s="15">
        <f t="shared" si="11"/>
        <v>1</v>
      </c>
    </row>
    <row r="208" spans="1:21" ht="18.75" customHeight="1">
      <c r="A208" s="16">
        <v>212</v>
      </c>
      <c r="B208" s="3">
        <v>12</v>
      </c>
      <c r="C208" s="4" t="s">
        <v>232</v>
      </c>
      <c r="D208" s="9" t="s">
        <v>441</v>
      </c>
      <c r="E208" s="5" t="s">
        <v>221</v>
      </c>
      <c r="F208" s="6">
        <v>275</v>
      </c>
      <c r="G208" s="6">
        <v>1500</v>
      </c>
      <c r="H208" s="6">
        <v>810</v>
      </c>
      <c r="I208" s="6">
        <v>690</v>
      </c>
      <c r="J208" s="17">
        <f t="shared" si="9"/>
        <v>851.85185185185185</v>
      </c>
      <c r="K208" s="6">
        <v>236</v>
      </c>
      <c r="L208" s="6">
        <v>126</v>
      </c>
      <c r="M208" s="6">
        <v>110</v>
      </c>
      <c r="N208" s="7">
        <f t="shared" si="10"/>
        <v>15.733333333333333</v>
      </c>
      <c r="O208" s="6">
        <v>1050</v>
      </c>
      <c r="P208" s="6">
        <v>617</v>
      </c>
      <c r="Q208" s="6">
        <v>433</v>
      </c>
      <c r="R208" s="7">
        <v>78.769692423105781</v>
      </c>
      <c r="S208" s="7">
        <v>86.414565826330531</v>
      </c>
      <c r="T208" s="7">
        <v>69.951534733441036</v>
      </c>
      <c r="U208" s="15">
        <f t="shared" si="11"/>
        <v>2</v>
      </c>
    </row>
    <row r="209" spans="1:21" ht="18.75" customHeight="1">
      <c r="A209" s="16">
        <v>213</v>
      </c>
      <c r="B209" s="3">
        <v>13</v>
      </c>
      <c r="C209" s="4" t="s">
        <v>233</v>
      </c>
      <c r="D209" s="9" t="s">
        <v>441</v>
      </c>
      <c r="E209" s="5" t="s">
        <v>221</v>
      </c>
      <c r="F209" s="6">
        <v>347</v>
      </c>
      <c r="G209" s="6">
        <v>1802</v>
      </c>
      <c r="H209" s="6">
        <v>968</v>
      </c>
      <c r="I209" s="6">
        <v>834</v>
      </c>
      <c r="J209" s="17">
        <f t="shared" si="9"/>
        <v>861.57024793388427</v>
      </c>
      <c r="K209" s="6">
        <v>266</v>
      </c>
      <c r="L209" s="6">
        <v>140</v>
      </c>
      <c r="M209" s="6">
        <v>126</v>
      </c>
      <c r="N209" s="7">
        <f t="shared" si="10"/>
        <v>14.761376248612654</v>
      </c>
      <c r="O209" s="6">
        <v>1146</v>
      </c>
      <c r="P209" s="6">
        <v>675</v>
      </c>
      <c r="Q209" s="6">
        <v>471</v>
      </c>
      <c r="R209" s="7">
        <v>72.030169704588303</v>
      </c>
      <c r="S209" s="7">
        <v>78.94736842105263</v>
      </c>
      <c r="T209" s="7">
        <v>63.994565217391312</v>
      </c>
      <c r="U209" s="15">
        <f t="shared" si="11"/>
        <v>2</v>
      </c>
    </row>
    <row r="210" spans="1:21" ht="18.75" customHeight="1">
      <c r="A210" s="16">
        <v>214</v>
      </c>
      <c r="B210" s="3">
        <v>14</v>
      </c>
      <c r="C210" s="4" t="s">
        <v>234</v>
      </c>
      <c r="D210" s="9" t="s">
        <v>441</v>
      </c>
      <c r="E210" s="5" t="s">
        <v>221</v>
      </c>
      <c r="F210" s="6">
        <v>200</v>
      </c>
      <c r="G210" s="6">
        <v>1090</v>
      </c>
      <c r="H210" s="6">
        <v>585</v>
      </c>
      <c r="I210" s="6">
        <v>505</v>
      </c>
      <c r="J210" s="17">
        <f t="shared" si="9"/>
        <v>863.24786324786328</v>
      </c>
      <c r="K210" s="6">
        <v>128</v>
      </c>
      <c r="L210" s="6">
        <v>69</v>
      </c>
      <c r="M210" s="6">
        <v>59</v>
      </c>
      <c r="N210" s="7">
        <f t="shared" si="10"/>
        <v>11.743119266055047</v>
      </c>
      <c r="O210" s="6">
        <v>754</v>
      </c>
      <c r="P210" s="6">
        <v>430</v>
      </c>
      <c r="Q210" s="6">
        <v>324</v>
      </c>
      <c r="R210" s="7">
        <v>77.333333333333329</v>
      </c>
      <c r="S210" s="7">
        <v>84.313725490196077</v>
      </c>
      <c r="T210" s="7">
        <v>69.677419354838705</v>
      </c>
      <c r="U210" s="15">
        <f t="shared" si="11"/>
        <v>2</v>
      </c>
    </row>
    <row r="211" spans="1:21" ht="18.75" customHeight="1">
      <c r="A211" s="16">
        <v>215</v>
      </c>
      <c r="B211" s="3">
        <v>15</v>
      </c>
      <c r="C211" s="4" t="s">
        <v>235</v>
      </c>
      <c r="D211" s="9" t="s">
        <v>441</v>
      </c>
      <c r="E211" s="5" t="s">
        <v>221</v>
      </c>
      <c r="F211" s="6">
        <v>169</v>
      </c>
      <c r="G211" s="6">
        <v>964</v>
      </c>
      <c r="H211" s="6">
        <v>509</v>
      </c>
      <c r="I211" s="6">
        <v>455</v>
      </c>
      <c r="J211" s="17">
        <f t="shared" si="9"/>
        <v>893.90962671905697</v>
      </c>
      <c r="K211" s="6">
        <v>141</v>
      </c>
      <c r="L211" s="6">
        <v>72</v>
      </c>
      <c r="M211" s="6">
        <v>69</v>
      </c>
      <c r="N211" s="7">
        <f t="shared" si="10"/>
        <v>14.626556016597512</v>
      </c>
      <c r="O211" s="6">
        <v>629</v>
      </c>
      <c r="P211" s="6">
        <v>370</v>
      </c>
      <c r="Q211" s="6">
        <v>259</v>
      </c>
      <c r="R211" s="7">
        <v>74.703087885985752</v>
      </c>
      <c r="S211" s="7">
        <v>84.474885844748854</v>
      </c>
      <c r="T211" s="7">
        <v>64.10891089108911</v>
      </c>
      <c r="U211" s="15">
        <f t="shared" si="11"/>
        <v>2</v>
      </c>
    </row>
    <row r="212" spans="1:21" ht="18.75" customHeight="1">
      <c r="A212" s="16">
        <v>216</v>
      </c>
      <c r="B212" s="3">
        <v>16</v>
      </c>
      <c r="C212" s="4" t="s">
        <v>236</v>
      </c>
      <c r="D212" s="9" t="s">
        <v>441</v>
      </c>
      <c r="E212" s="5" t="s">
        <v>221</v>
      </c>
      <c r="F212" s="6">
        <v>67</v>
      </c>
      <c r="G212" s="6">
        <v>392</v>
      </c>
      <c r="H212" s="6">
        <v>220</v>
      </c>
      <c r="I212" s="6">
        <v>172</v>
      </c>
      <c r="J212" s="17">
        <f t="shared" si="9"/>
        <v>781.81818181818187</v>
      </c>
      <c r="K212" s="6">
        <v>62</v>
      </c>
      <c r="L212" s="6">
        <v>33</v>
      </c>
      <c r="M212" s="6">
        <v>29</v>
      </c>
      <c r="N212" s="7">
        <f t="shared" si="10"/>
        <v>15.816326530612246</v>
      </c>
      <c r="O212" s="6">
        <v>279</v>
      </c>
      <c r="P212" s="6">
        <v>167</v>
      </c>
      <c r="Q212" s="6">
        <v>112</v>
      </c>
      <c r="R212" s="7">
        <v>79.714285714285722</v>
      </c>
      <c r="S212" s="7">
        <v>86.52849740932642</v>
      </c>
      <c r="T212" s="7">
        <v>71.337579617834393</v>
      </c>
      <c r="U212" s="15">
        <f t="shared" si="11"/>
        <v>3</v>
      </c>
    </row>
    <row r="213" spans="1:21" ht="18.75" customHeight="1">
      <c r="A213" s="16">
        <v>217</v>
      </c>
      <c r="B213" s="3">
        <v>17</v>
      </c>
      <c r="C213" s="4" t="s">
        <v>237</v>
      </c>
      <c r="D213" s="9" t="s">
        <v>441</v>
      </c>
      <c r="E213" s="5" t="s">
        <v>221</v>
      </c>
      <c r="F213" s="6">
        <v>197</v>
      </c>
      <c r="G213" s="6">
        <v>1122</v>
      </c>
      <c r="H213" s="6">
        <v>590</v>
      </c>
      <c r="I213" s="6">
        <v>532</v>
      </c>
      <c r="J213" s="17">
        <f t="shared" si="9"/>
        <v>901.69491525423723</v>
      </c>
      <c r="K213" s="6">
        <v>83</v>
      </c>
      <c r="L213" s="6">
        <v>47</v>
      </c>
      <c r="M213" s="6">
        <v>36</v>
      </c>
      <c r="N213" s="7">
        <f t="shared" si="10"/>
        <v>7.3975044563279857</v>
      </c>
      <c r="O213" s="6">
        <v>785</v>
      </c>
      <c r="P213" s="6">
        <v>457</v>
      </c>
      <c r="Q213" s="6">
        <v>328</v>
      </c>
      <c r="R213" s="7">
        <v>76.66015625</v>
      </c>
      <c r="S213" s="7">
        <v>85.420560747663558</v>
      </c>
      <c r="T213" s="7">
        <v>67.075664621676893</v>
      </c>
      <c r="U213" s="15">
        <f t="shared" si="11"/>
        <v>1</v>
      </c>
    </row>
    <row r="214" spans="1:21" ht="18.75" customHeight="1">
      <c r="A214" s="16">
        <v>218</v>
      </c>
      <c r="B214" s="3">
        <v>18</v>
      </c>
      <c r="C214" s="4" t="s">
        <v>238</v>
      </c>
      <c r="D214" s="9" t="s">
        <v>441</v>
      </c>
      <c r="E214" s="5" t="s">
        <v>221</v>
      </c>
      <c r="F214" s="6">
        <v>81</v>
      </c>
      <c r="G214" s="6">
        <v>431</v>
      </c>
      <c r="H214" s="6">
        <v>218</v>
      </c>
      <c r="I214" s="6">
        <v>213</v>
      </c>
      <c r="J214" s="17">
        <f t="shared" si="9"/>
        <v>977.06422018348621</v>
      </c>
      <c r="K214" s="6">
        <v>32</v>
      </c>
      <c r="L214" s="6">
        <v>15</v>
      </c>
      <c r="M214" s="6">
        <v>17</v>
      </c>
      <c r="N214" s="7">
        <f t="shared" si="10"/>
        <v>7.4245939675174011</v>
      </c>
      <c r="O214" s="6">
        <v>251</v>
      </c>
      <c r="P214" s="6">
        <v>138</v>
      </c>
      <c r="Q214" s="6">
        <v>113</v>
      </c>
      <c r="R214" s="7">
        <v>67.473118279569889</v>
      </c>
      <c r="S214" s="7">
        <v>71.134020618556704</v>
      </c>
      <c r="T214" s="7">
        <v>63.483146067415731</v>
      </c>
      <c r="U214" s="15">
        <f t="shared" si="11"/>
        <v>1</v>
      </c>
    </row>
    <row r="215" spans="1:21" ht="18.75" customHeight="1">
      <c r="A215" s="16">
        <v>219</v>
      </c>
      <c r="B215" s="3">
        <v>19</v>
      </c>
      <c r="C215" s="4" t="s">
        <v>239</v>
      </c>
      <c r="D215" s="9" t="s">
        <v>441</v>
      </c>
      <c r="E215" s="5" t="s">
        <v>221</v>
      </c>
      <c r="F215" s="6">
        <v>327</v>
      </c>
      <c r="G215" s="6">
        <v>1625</v>
      </c>
      <c r="H215" s="6">
        <v>862</v>
      </c>
      <c r="I215" s="6">
        <v>763</v>
      </c>
      <c r="J215" s="17">
        <f t="shared" si="9"/>
        <v>885.15081206496518</v>
      </c>
      <c r="K215" s="6">
        <v>547</v>
      </c>
      <c r="L215" s="6">
        <v>284</v>
      </c>
      <c r="M215" s="6">
        <v>263</v>
      </c>
      <c r="N215" s="7">
        <f t="shared" si="10"/>
        <v>33.661538461538463</v>
      </c>
      <c r="O215" s="6">
        <v>1046</v>
      </c>
      <c r="P215" s="6">
        <v>632</v>
      </c>
      <c r="Q215" s="6">
        <v>414</v>
      </c>
      <c r="R215" s="7">
        <v>72.739916550764946</v>
      </c>
      <c r="S215" s="7">
        <v>83.04862023653088</v>
      </c>
      <c r="T215" s="7">
        <v>61.152141802067952</v>
      </c>
      <c r="U215" s="15">
        <f t="shared" si="11"/>
        <v>2</v>
      </c>
    </row>
    <row r="216" spans="1:21" ht="18.75" customHeight="1">
      <c r="A216" s="16">
        <v>220</v>
      </c>
      <c r="B216" s="3">
        <v>20</v>
      </c>
      <c r="C216" s="4" t="s">
        <v>240</v>
      </c>
      <c r="D216" s="9" t="s">
        <v>441</v>
      </c>
      <c r="E216" s="5" t="s">
        <v>221</v>
      </c>
      <c r="F216" s="6">
        <v>244</v>
      </c>
      <c r="G216" s="6">
        <v>1445</v>
      </c>
      <c r="H216" s="6">
        <v>725</v>
      </c>
      <c r="I216" s="6">
        <v>720</v>
      </c>
      <c r="J216" s="17">
        <f t="shared" si="9"/>
        <v>993.10344827586209</v>
      </c>
      <c r="K216" s="6">
        <v>341</v>
      </c>
      <c r="L216" s="6">
        <v>163</v>
      </c>
      <c r="M216" s="6">
        <v>178</v>
      </c>
      <c r="N216" s="7">
        <f t="shared" si="10"/>
        <v>23.598615916955019</v>
      </c>
      <c r="O216" s="6">
        <v>965</v>
      </c>
      <c r="P216" s="6">
        <v>519</v>
      </c>
      <c r="Q216" s="6">
        <v>446</v>
      </c>
      <c r="R216" s="7">
        <v>74.864235841737781</v>
      </c>
      <c r="S216" s="7">
        <v>82.643312101910823</v>
      </c>
      <c r="T216" s="7">
        <v>67.473524962178516</v>
      </c>
      <c r="U216" s="15">
        <f t="shared" si="11"/>
        <v>1</v>
      </c>
    </row>
    <row r="217" spans="1:21" ht="18.75" customHeight="1">
      <c r="A217" s="16">
        <v>221</v>
      </c>
      <c r="B217" s="3">
        <v>21</v>
      </c>
      <c r="C217" s="4" t="s">
        <v>241</v>
      </c>
      <c r="D217" s="9" t="s">
        <v>441</v>
      </c>
      <c r="E217" s="5" t="s">
        <v>221</v>
      </c>
      <c r="F217" s="6">
        <v>290</v>
      </c>
      <c r="G217" s="6">
        <v>1543</v>
      </c>
      <c r="H217" s="6">
        <v>802</v>
      </c>
      <c r="I217" s="6">
        <v>741</v>
      </c>
      <c r="J217" s="17">
        <f t="shared" si="9"/>
        <v>923.94014962593519</v>
      </c>
      <c r="K217" s="6">
        <v>424</v>
      </c>
      <c r="L217" s="6">
        <v>223</v>
      </c>
      <c r="M217" s="6">
        <v>201</v>
      </c>
      <c r="N217" s="7">
        <f t="shared" si="10"/>
        <v>27.478937135450423</v>
      </c>
      <c r="O217" s="6">
        <v>1046</v>
      </c>
      <c r="P217" s="6">
        <v>598</v>
      </c>
      <c r="Q217" s="6">
        <v>448</v>
      </c>
      <c r="R217" s="7">
        <v>76.96835908756438</v>
      </c>
      <c r="S217" s="7">
        <v>84.463276836158201</v>
      </c>
      <c r="T217" s="7">
        <v>68.817204301075279</v>
      </c>
      <c r="U217" s="15">
        <f t="shared" si="11"/>
        <v>1</v>
      </c>
    </row>
    <row r="218" spans="1:21" ht="18.75" customHeight="1">
      <c r="A218" s="16">
        <v>222</v>
      </c>
      <c r="B218" s="3">
        <v>22</v>
      </c>
      <c r="C218" s="4" t="s">
        <v>242</v>
      </c>
      <c r="D218" s="9" t="s">
        <v>441</v>
      </c>
      <c r="E218" s="5" t="s">
        <v>221</v>
      </c>
      <c r="F218" s="6">
        <v>193</v>
      </c>
      <c r="G218" s="6">
        <v>994</v>
      </c>
      <c r="H218" s="6">
        <v>510</v>
      </c>
      <c r="I218" s="6">
        <v>484</v>
      </c>
      <c r="J218" s="17">
        <f t="shared" si="9"/>
        <v>949.01960784313724</v>
      </c>
      <c r="K218" s="6">
        <v>239</v>
      </c>
      <c r="L218" s="6">
        <v>118</v>
      </c>
      <c r="M218" s="6">
        <v>121</v>
      </c>
      <c r="N218" s="7">
        <f t="shared" si="10"/>
        <v>24.044265593561367</v>
      </c>
      <c r="O218" s="6">
        <v>647</v>
      </c>
      <c r="P218" s="6">
        <v>377</v>
      </c>
      <c r="Q218" s="6">
        <v>270</v>
      </c>
      <c r="R218" s="7">
        <v>74.282433983926524</v>
      </c>
      <c r="S218" s="7">
        <v>83.407079646017706</v>
      </c>
      <c r="T218" s="7">
        <v>64.439140811455843</v>
      </c>
      <c r="U218" s="15">
        <f t="shared" si="11"/>
        <v>1</v>
      </c>
    </row>
    <row r="219" spans="1:21" ht="18.75" customHeight="1">
      <c r="A219" s="16">
        <v>223</v>
      </c>
      <c r="B219" s="3">
        <v>23</v>
      </c>
      <c r="C219" s="4" t="s">
        <v>243</v>
      </c>
      <c r="D219" s="9" t="s">
        <v>441</v>
      </c>
      <c r="E219" s="5" t="s">
        <v>221</v>
      </c>
      <c r="F219" s="6">
        <v>336</v>
      </c>
      <c r="G219" s="6">
        <v>1875</v>
      </c>
      <c r="H219" s="6">
        <v>1008</v>
      </c>
      <c r="I219" s="6">
        <v>867</v>
      </c>
      <c r="J219" s="17">
        <f t="shared" si="9"/>
        <v>860.11904761904771</v>
      </c>
      <c r="K219" s="6">
        <v>345</v>
      </c>
      <c r="L219" s="6">
        <v>193</v>
      </c>
      <c r="M219" s="6">
        <v>152</v>
      </c>
      <c r="N219" s="7">
        <f t="shared" si="10"/>
        <v>18.399999999999999</v>
      </c>
      <c r="O219" s="6">
        <v>1278</v>
      </c>
      <c r="P219" s="6">
        <v>738</v>
      </c>
      <c r="Q219" s="6">
        <v>540</v>
      </c>
      <c r="R219" s="7">
        <v>77.080820265379984</v>
      </c>
      <c r="S219" s="7">
        <v>84.246575342465761</v>
      </c>
      <c r="T219" s="7">
        <v>69.053708439897704</v>
      </c>
      <c r="U219" s="15">
        <f t="shared" si="11"/>
        <v>2</v>
      </c>
    </row>
    <row r="220" spans="1:21" ht="18.75" customHeight="1">
      <c r="A220" s="16">
        <v>224</v>
      </c>
      <c r="B220" s="3">
        <v>24</v>
      </c>
      <c r="C220" s="4" t="s">
        <v>244</v>
      </c>
      <c r="D220" s="9" t="s">
        <v>441</v>
      </c>
      <c r="E220" s="5" t="s">
        <v>221</v>
      </c>
      <c r="F220" s="6">
        <v>178</v>
      </c>
      <c r="G220" s="6">
        <v>976</v>
      </c>
      <c r="H220" s="6">
        <v>497</v>
      </c>
      <c r="I220" s="6">
        <v>479</v>
      </c>
      <c r="J220" s="17">
        <f t="shared" si="9"/>
        <v>963.78269617706235</v>
      </c>
      <c r="K220" s="6">
        <v>698</v>
      </c>
      <c r="L220" s="6">
        <v>365</v>
      </c>
      <c r="M220" s="6">
        <v>333</v>
      </c>
      <c r="N220" s="7">
        <f t="shared" si="10"/>
        <v>71.516393442622956</v>
      </c>
      <c r="O220" s="6">
        <v>566</v>
      </c>
      <c r="P220" s="6">
        <v>313</v>
      </c>
      <c r="Q220" s="6">
        <v>253</v>
      </c>
      <c r="R220" s="7">
        <v>66.903073286052006</v>
      </c>
      <c r="S220" s="7">
        <v>72.453703703703709</v>
      </c>
      <c r="T220" s="7">
        <v>61.111111111111114</v>
      </c>
      <c r="U220" s="15">
        <f t="shared" si="11"/>
        <v>1</v>
      </c>
    </row>
    <row r="221" spans="1:21" ht="18.75" customHeight="1">
      <c r="A221" s="16">
        <v>225</v>
      </c>
      <c r="B221" s="3">
        <v>25</v>
      </c>
      <c r="C221" s="4" t="s">
        <v>245</v>
      </c>
      <c r="D221" s="9" t="s">
        <v>441</v>
      </c>
      <c r="E221" s="5" t="s">
        <v>221</v>
      </c>
      <c r="F221" s="6">
        <v>18</v>
      </c>
      <c r="G221" s="6">
        <v>100</v>
      </c>
      <c r="H221" s="6">
        <v>51</v>
      </c>
      <c r="I221" s="6">
        <v>49</v>
      </c>
      <c r="J221" s="17">
        <f t="shared" si="9"/>
        <v>960.78431372549028</v>
      </c>
      <c r="K221" s="6">
        <v>0</v>
      </c>
      <c r="L221" s="6">
        <v>0</v>
      </c>
      <c r="M221" s="6">
        <v>0</v>
      </c>
      <c r="N221" s="7">
        <f t="shared" si="10"/>
        <v>0</v>
      </c>
      <c r="O221" s="6">
        <v>66</v>
      </c>
      <c r="P221" s="6">
        <v>36</v>
      </c>
      <c r="Q221" s="6">
        <v>30</v>
      </c>
      <c r="R221" s="7">
        <v>76.744186046511629</v>
      </c>
      <c r="S221" s="7">
        <v>81.818181818181827</v>
      </c>
      <c r="T221" s="7">
        <v>71.428571428571431</v>
      </c>
      <c r="U221" s="15">
        <f t="shared" si="11"/>
        <v>1</v>
      </c>
    </row>
    <row r="222" spans="1:21" ht="18.75" customHeight="1">
      <c r="A222" s="16">
        <v>226</v>
      </c>
      <c r="B222" s="3">
        <v>26</v>
      </c>
      <c r="C222" s="4" t="s">
        <v>246</v>
      </c>
      <c r="D222" s="9" t="s">
        <v>441</v>
      </c>
      <c r="E222" s="5" t="s">
        <v>221</v>
      </c>
      <c r="F222" s="6">
        <v>192</v>
      </c>
      <c r="G222" s="6">
        <v>1066</v>
      </c>
      <c r="H222" s="6">
        <v>551</v>
      </c>
      <c r="I222" s="6">
        <v>515</v>
      </c>
      <c r="J222" s="17">
        <f t="shared" si="9"/>
        <v>934.66424682395643</v>
      </c>
      <c r="K222" s="6">
        <v>292</v>
      </c>
      <c r="L222" s="6">
        <v>150</v>
      </c>
      <c r="M222" s="6">
        <v>142</v>
      </c>
      <c r="N222" s="7">
        <f t="shared" si="10"/>
        <v>27.392120075046904</v>
      </c>
      <c r="O222" s="6">
        <v>714</v>
      </c>
      <c r="P222" s="6">
        <v>409</v>
      </c>
      <c r="Q222" s="6">
        <v>305</v>
      </c>
      <c r="R222" s="7">
        <v>77.105831533477314</v>
      </c>
      <c r="S222" s="7">
        <v>85.031185031185032</v>
      </c>
      <c r="T222" s="7">
        <v>68.539325842696627</v>
      </c>
      <c r="U222" s="15">
        <f t="shared" si="11"/>
        <v>1</v>
      </c>
    </row>
    <row r="223" spans="1:21" ht="18.75" customHeight="1">
      <c r="A223" s="16">
        <v>227</v>
      </c>
      <c r="B223" s="3">
        <v>27</v>
      </c>
      <c r="C223" s="4" t="s">
        <v>247</v>
      </c>
      <c r="D223" s="9" t="s">
        <v>441</v>
      </c>
      <c r="E223" s="5" t="s">
        <v>221</v>
      </c>
      <c r="F223" s="6">
        <v>184</v>
      </c>
      <c r="G223" s="6">
        <v>1069</v>
      </c>
      <c r="H223" s="6">
        <v>570</v>
      </c>
      <c r="I223" s="6">
        <v>499</v>
      </c>
      <c r="J223" s="17">
        <f t="shared" si="9"/>
        <v>875.43859649122805</v>
      </c>
      <c r="K223" s="6">
        <v>196</v>
      </c>
      <c r="L223" s="6">
        <v>96</v>
      </c>
      <c r="M223" s="6">
        <v>100</v>
      </c>
      <c r="N223" s="7">
        <f t="shared" si="10"/>
        <v>18.334892422825071</v>
      </c>
      <c r="O223" s="6">
        <v>751</v>
      </c>
      <c r="P223" s="6">
        <v>432</v>
      </c>
      <c r="Q223" s="6">
        <v>319</v>
      </c>
      <c r="R223" s="7">
        <v>80.752688172043008</v>
      </c>
      <c r="S223" s="7">
        <v>89.072164948453619</v>
      </c>
      <c r="T223" s="7">
        <v>71.68539325842697</v>
      </c>
      <c r="U223" s="15">
        <f t="shared" si="11"/>
        <v>2</v>
      </c>
    </row>
    <row r="224" spans="1:21" ht="18.75" customHeight="1">
      <c r="A224" s="16">
        <v>228</v>
      </c>
      <c r="B224" s="3">
        <v>28</v>
      </c>
      <c r="C224" s="4" t="s">
        <v>248</v>
      </c>
      <c r="D224" s="9" t="s">
        <v>441</v>
      </c>
      <c r="E224" s="5" t="s">
        <v>221</v>
      </c>
      <c r="F224" s="6">
        <v>83</v>
      </c>
      <c r="G224" s="6">
        <v>441</v>
      </c>
      <c r="H224" s="6">
        <v>240</v>
      </c>
      <c r="I224" s="6">
        <v>201</v>
      </c>
      <c r="J224" s="17">
        <f t="shared" si="9"/>
        <v>837.5</v>
      </c>
      <c r="K224" s="6">
        <v>0</v>
      </c>
      <c r="L224" s="6">
        <v>0</v>
      </c>
      <c r="M224" s="6">
        <v>0</v>
      </c>
      <c r="N224" s="7">
        <f t="shared" si="10"/>
        <v>0</v>
      </c>
      <c r="O224" s="6">
        <v>309</v>
      </c>
      <c r="P224" s="6">
        <v>184</v>
      </c>
      <c r="Q224" s="6">
        <v>125</v>
      </c>
      <c r="R224" s="7">
        <v>77.057356608478798</v>
      </c>
      <c r="S224" s="7">
        <v>85.981308411214954</v>
      </c>
      <c r="T224" s="7">
        <v>66.844919786096256</v>
      </c>
      <c r="U224" s="15">
        <f t="shared" si="11"/>
        <v>2</v>
      </c>
    </row>
    <row r="225" spans="1:21" ht="18.75" customHeight="1">
      <c r="A225" s="16">
        <v>229</v>
      </c>
      <c r="B225" s="3">
        <v>29</v>
      </c>
      <c r="C225" s="4" t="s">
        <v>249</v>
      </c>
      <c r="D225" s="9" t="s">
        <v>441</v>
      </c>
      <c r="E225" s="5" t="s">
        <v>221</v>
      </c>
      <c r="F225" s="6">
        <v>285</v>
      </c>
      <c r="G225" s="6">
        <v>1463</v>
      </c>
      <c r="H225" s="6">
        <v>747</v>
      </c>
      <c r="I225" s="6">
        <v>716</v>
      </c>
      <c r="J225" s="17">
        <f t="shared" si="9"/>
        <v>958.50066934404288</v>
      </c>
      <c r="K225" s="6">
        <v>380</v>
      </c>
      <c r="L225" s="6">
        <v>201</v>
      </c>
      <c r="M225" s="6">
        <v>179</v>
      </c>
      <c r="N225" s="7">
        <f t="shared" si="10"/>
        <v>25.97402597402597</v>
      </c>
      <c r="O225" s="6">
        <v>982</v>
      </c>
      <c r="P225" s="6">
        <v>536</v>
      </c>
      <c r="Q225" s="6">
        <v>446</v>
      </c>
      <c r="R225" s="7">
        <v>76.778733385457386</v>
      </c>
      <c r="S225" s="7">
        <v>82.08269525267994</v>
      </c>
      <c r="T225" s="7">
        <v>71.246006389776369</v>
      </c>
      <c r="U225" s="15">
        <f t="shared" si="11"/>
        <v>1</v>
      </c>
    </row>
    <row r="226" spans="1:21" ht="18.75" customHeight="1">
      <c r="A226" s="16">
        <v>230</v>
      </c>
      <c r="B226" s="3">
        <v>30</v>
      </c>
      <c r="C226" s="4" t="s">
        <v>250</v>
      </c>
      <c r="D226" s="9" t="s">
        <v>441</v>
      </c>
      <c r="E226" s="5" t="s">
        <v>221</v>
      </c>
      <c r="F226" s="6">
        <v>175</v>
      </c>
      <c r="G226" s="6">
        <v>914</v>
      </c>
      <c r="H226" s="6">
        <v>450</v>
      </c>
      <c r="I226" s="6">
        <v>464</v>
      </c>
      <c r="J226" s="17">
        <f t="shared" si="9"/>
        <v>1031.1111111111111</v>
      </c>
      <c r="K226" s="6">
        <v>365</v>
      </c>
      <c r="L226" s="6">
        <v>176</v>
      </c>
      <c r="M226" s="6">
        <v>189</v>
      </c>
      <c r="N226" s="7">
        <f t="shared" si="10"/>
        <v>39.934354485776808</v>
      </c>
      <c r="O226" s="6">
        <v>590</v>
      </c>
      <c r="P226" s="6">
        <v>324</v>
      </c>
      <c r="Q226" s="6">
        <v>266</v>
      </c>
      <c r="R226" s="7">
        <v>74.683544303797461</v>
      </c>
      <c r="S226" s="7">
        <v>84.816753926701566</v>
      </c>
      <c r="T226" s="7">
        <v>65.196078431372555</v>
      </c>
      <c r="U226" s="15">
        <f t="shared" si="11"/>
        <v>1</v>
      </c>
    </row>
    <row r="227" spans="1:21" ht="18.75" customHeight="1">
      <c r="A227" s="16">
        <v>231</v>
      </c>
      <c r="B227" s="3">
        <v>31</v>
      </c>
      <c r="C227" s="4" t="s">
        <v>251</v>
      </c>
      <c r="D227" s="9" t="s">
        <v>441</v>
      </c>
      <c r="E227" s="5" t="s">
        <v>221</v>
      </c>
      <c r="F227" s="6">
        <v>99</v>
      </c>
      <c r="G227" s="6">
        <v>460</v>
      </c>
      <c r="H227" s="6">
        <v>253</v>
      </c>
      <c r="I227" s="6">
        <v>207</v>
      </c>
      <c r="J227" s="17">
        <f t="shared" si="9"/>
        <v>818.18181818181824</v>
      </c>
      <c r="K227" s="6">
        <v>29</v>
      </c>
      <c r="L227" s="6">
        <v>16</v>
      </c>
      <c r="M227" s="6">
        <v>13</v>
      </c>
      <c r="N227" s="7">
        <f t="shared" si="10"/>
        <v>6.3043478260869561</v>
      </c>
      <c r="O227" s="6">
        <v>315</v>
      </c>
      <c r="P227" s="6">
        <v>181</v>
      </c>
      <c r="Q227" s="6">
        <v>134</v>
      </c>
      <c r="R227" s="7">
        <v>78.16377171215882</v>
      </c>
      <c r="S227" s="7">
        <v>84.976525821596255</v>
      </c>
      <c r="T227" s="7">
        <v>70.526315789473685</v>
      </c>
      <c r="U227" s="15">
        <f t="shared" si="11"/>
        <v>2</v>
      </c>
    </row>
    <row r="228" spans="1:21" ht="18.75" customHeight="1">
      <c r="A228" s="16">
        <v>232</v>
      </c>
      <c r="B228" s="3">
        <v>32</v>
      </c>
      <c r="C228" s="4" t="s">
        <v>252</v>
      </c>
      <c r="D228" s="9" t="s">
        <v>441</v>
      </c>
      <c r="E228" s="5" t="s">
        <v>221</v>
      </c>
      <c r="F228" s="6">
        <v>118</v>
      </c>
      <c r="G228" s="6">
        <v>578</v>
      </c>
      <c r="H228" s="6">
        <v>301</v>
      </c>
      <c r="I228" s="6">
        <v>277</v>
      </c>
      <c r="J228" s="17">
        <f t="shared" si="9"/>
        <v>920.26578073089706</v>
      </c>
      <c r="K228" s="6">
        <v>354</v>
      </c>
      <c r="L228" s="6">
        <v>180</v>
      </c>
      <c r="M228" s="6">
        <v>174</v>
      </c>
      <c r="N228" s="7">
        <f t="shared" si="10"/>
        <v>61.245674740484425</v>
      </c>
      <c r="O228" s="6">
        <v>367</v>
      </c>
      <c r="P228" s="6">
        <v>194</v>
      </c>
      <c r="Q228" s="6">
        <v>173</v>
      </c>
      <c r="R228" s="7">
        <v>72.102161100196454</v>
      </c>
      <c r="S228" s="7">
        <v>74.329501915708818</v>
      </c>
      <c r="T228" s="7">
        <v>69.758064516129039</v>
      </c>
      <c r="U228" s="15">
        <f t="shared" si="11"/>
        <v>1</v>
      </c>
    </row>
    <row r="229" spans="1:21" ht="18.75" customHeight="1">
      <c r="A229" s="16">
        <v>233</v>
      </c>
      <c r="B229" s="3">
        <v>33</v>
      </c>
      <c r="C229" s="4" t="s">
        <v>253</v>
      </c>
      <c r="D229" s="9" t="s">
        <v>441</v>
      </c>
      <c r="E229" s="5" t="s">
        <v>221</v>
      </c>
      <c r="F229" s="6">
        <v>509</v>
      </c>
      <c r="G229" s="6">
        <v>2727</v>
      </c>
      <c r="H229" s="6">
        <v>1452</v>
      </c>
      <c r="I229" s="6">
        <v>1275</v>
      </c>
      <c r="J229" s="17">
        <f t="shared" si="9"/>
        <v>878.09917355371897</v>
      </c>
      <c r="K229" s="6">
        <v>561</v>
      </c>
      <c r="L229" s="6">
        <v>297</v>
      </c>
      <c r="M229" s="6">
        <v>264</v>
      </c>
      <c r="N229" s="7">
        <f t="shared" si="10"/>
        <v>20.572057205720572</v>
      </c>
      <c r="O229" s="6">
        <v>1821</v>
      </c>
      <c r="P229" s="6">
        <v>1040</v>
      </c>
      <c r="Q229" s="6">
        <v>781</v>
      </c>
      <c r="R229" s="7">
        <v>76.001669449081803</v>
      </c>
      <c r="S229" s="7">
        <v>82.148499210110586</v>
      </c>
      <c r="T229" s="7">
        <v>69.115044247787623</v>
      </c>
      <c r="U229" s="15">
        <f t="shared" si="11"/>
        <v>2</v>
      </c>
    </row>
    <row r="230" spans="1:21" ht="18.75" customHeight="1">
      <c r="A230" s="16">
        <v>234</v>
      </c>
      <c r="B230" s="3">
        <v>34</v>
      </c>
      <c r="C230" s="4" t="s">
        <v>254</v>
      </c>
      <c r="D230" s="9" t="s">
        <v>441</v>
      </c>
      <c r="E230" s="5" t="s">
        <v>221</v>
      </c>
      <c r="F230" s="6">
        <v>231</v>
      </c>
      <c r="G230" s="6">
        <v>1268</v>
      </c>
      <c r="H230" s="6">
        <v>675</v>
      </c>
      <c r="I230" s="6">
        <v>593</v>
      </c>
      <c r="J230" s="17">
        <f t="shared" si="9"/>
        <v>878.51851851851848</v>
      </c>
      <c r="K230" s="6">
        <v>175</v>
      </c>
      <c r="L230" s="6">
        <v>93</v>
      </c>
      <c r="M230" s="6">
        <v>82</v>
      </c>
      <c r="N230" s="7">
        <f t="shared" si="10"/>
        <v>13.801261829652997</v>
      </c>
      <c r="O230" s="6">
        <v>769</v>
      </c>
      <c r="P230" s="6">
        <v>452</v>
      </c>
      <c r="Q230" s="6">
        <v>317</v>
      </c>
      <c r="R230" s="7">
        <v>69.655797101449281</v>
      </c>
      <c r="S230" s="7">
        <v>77.001703577512785</v>
      </c>
      <c r="T230" s="7">
        <v>61.315280464216634</v>
      </c>
      <c r="U230" s="15">
        <f t="shared" si="11"/>
        <v>2</v>
      </c>
    </row>
    <row r="231" spans="1:21" ht="18.75" customHeight="1">
      <c r="A231" s="16">
        <v>235</v>
      </c>
      <c r="B231" s="3">
        <v>35</v>
      </c>
      <c r="C231" s="4" t="s">
        <v>255</v>
      </c>
      <c r="D231" s="9" t="s">
        <v>441</v>
      </c>
      <c r="E231" s="5" t="s">
        <v>221</v>
      </c>
      <c r="F231" s="6">
        <v>156</v>
      </c>
      <c r="G231" s="6">
        <v>885</v>
      </c>
      <c r="H231" s="6">
        <v>452</v>
      </c>
      <c r="I231" s="6">
        <v>433</v>
      </c>
      <c r="J231" s="17">
        <f t="shared" si="9"/>
        <v>957.9646017699115</v>
      </c>
      <c r="K231" s="6">
        <v>161</v>
      </c>
      <c r="L231" s="6">
        <v>80</v>
      </c>
      <c r="M231" s="6">
        <v>81</v>
      </c>
      <c r="N231" s="7">
        <f t="shared" si="10"/>
        <v>18.192090395480225</v>
      </c>
      <c r="O231" s="6">
        <v>549</v>
      </c>
      <c r="P231" s="6">
        <v>317</v>
      </c>
      <c r="Q231" s="6">
        <v>232</v>
      </c>
      <c r="R231" s="7">
        <v>72.811671087533156</v>
      </c>
      <c r="S231" s="7">
        <v>82.552083333333343</v>
      </c>
      <c r="T231" s="7">
        <v>62.702702702702709</v>
      </c>
      <c r="U231" s="15">
        <f t="shared" si="11"/>
        <v>1</v>
      </c>
    </row>
    <row r="232" spans="1:21" ht="18.75" customHeight="1">
      <c r="A232" s="16">
        <v>236</v>
      </c>
      <c r="B232" s="3">
        <v>36</v>
      </c>
      <c r="C232" s="4" t="s">
        <v>256</v>
      </c>
      <c r="D232" s="9" t="s">
        <v>441</v>
      </c>
      <c r="E232" s="5" t="s">
        <v>221</v>
      </c>
      <c r="F232" s="6">
        <v>190</v>
      </c>
      <c r="G232" s="6">
        <v>921</v>
      </c>
      <c r="H232" s="6">
        <v>470</v>
      </c>
      <c r="I232" s="6">
        <v>451</v>
      </c>
      <c r="J232" s="17">
        <f t="shared" si="9"/>
        <v>959.57446808510633</v>
      </c>
      <c r="K232" s="6">
        <v>35</v>
      </c>
      <c r="L232" s="6">
        <v>18</v>
      </c>
      <c r="M232" s="6">
        <v>17</v>
      </c>
      <c r="N232" s="7">
        <f t="shared" si="10"/>
        <v>3.8002171552660156</v>
      </c>
      <c r="O232" s="6">
        <v>608</v>
      </c>
      <c r="P232" s="6">
        <v>354</v>
      </c>
      <c r="Q232" s="6">
        <v>254</v>
      </c>
      <c r="R232" s="7">
        <v>75.621890547263675</v>
      </c>
      <c r="S232" s="7">
        <v>87.192118226600996</v>
      </c>
      <c r="T232" s="7">
        <v>63.819095477386931</v>
      </c>
      <c r="U232" s="15">
        <f t="shared" si="11"/>
        <v>1</v>
      </c>
    </row>
    <row r="233" spans="1:21" ht="18.75" customHeight="1">
      <c r="A233" s="16">
        <v>237</v>
      </c>
      <c r="B233" s="3">
        <v>37</v>
      </c>
      <c r="C233" s="4" t="s">
        <v>257</v>
      </c>
      <c r="D233" s="9" t="s">
        <v>441</v>
      </c>
      <c r="E233" s="5" t="s">
        <v>221</v>
      </c>
      <c r="F233" s="6">
        <v>203</v>
      </c>
      <c r="G233" s="6">
        <v>1086</v>
      </c>
      <c r="H233" s="6">
        <v>548</v>
      </c>
      <c r="I233" s="6">
        <v>538</v>
      </c>
      <c r="J233" s="17">
        <f t="shared" si="9"/>
        <v>981.75182481751824</v>
      </c>
      <c r="K233" s="6">
        <v>184</v>
      </c>
      <c r="L233" s="6">
        <v>96</v>
      </c>
      <c r="M233" s="6">
        <v>88</v>
      </c>
      <c r="N233" s="7">
        <f t="shared" si="10"/>
        <v>16.94290976058932</v>
      </c>
      <c r="O233" s="6">
        <v>714</v>
      </c>
      <c r="P233" s="6">
        <v>398</v>
      </c>
      <c r="Q233" s="6">
        <v>316</v>
      </c>
      <c r="R233" s="7">
        <v>73.608247422680421</v>
      </c>
      <c r="S233" s="7">
        <v>82.572614107883808</v>
      </c>
      <c r="T233" s="7">
        <v>64.754098360655746</v>
      </c>
      <c r="U233" s="15">
        <f t="shared" si="11"/>
        <v>1</v>
      </c>
    </row>
    <row r="234" spans="1:21" ht="18.75" customHeight="1">
      <c r="A234" s="16">
        <v>238</v>
      </c>
      <c r="B234" s="3">
        <v>38</v>
      </c>
      <c r="C234" s="4" t="s">
        <v>258</v>
      </c>
      <c r="D234" s="9" t="s">
        <v>441</v>
      </c>
      <c r="E234" s="5" t="s">
        <v>221</v>
      </c>
      <c r="F234" s="6">
        <v>87</v>
      </c>
      <c r="G234" s="6">
        <v>504</v>
      </c>
      <c r="H234" s="6">
        <v>278</v>
      </c>
      <c r="I234" s="6">
        <v>226</v>
      </c>
      <c r="J234" s="17">
        <f t="shared" si="9"/>
        <v>812.94964028776985</v>
      </c>
      <c r="K234" s="6">
        <v>0</v>
      </c>
      <c r="L234" s="6">
        <v>0</v>
      </c>
      <c r="M234" s="6">
        <v>0</v>
      </c>
      <c r="N234" s="7">
        <f t="shared" si="10"/>
        <v>0</v>
      </c>
      <c r="O234" s="6">
        <v>371</v>
      </c>
      <c r="P234" s="6">
        <v>214</v>
      </c>
      <c r="Q234" s="6">
        <v>157</v>
      </c>
      <c r="R234" s="7">
        <v>82.444444444444443</v>
      </c>
      <c r="S234" s="7">
        <v>88.796680497925308</v>
      </c>
      <c r="T234" s="7">
        <v>75.119617224880386</v>
      </c>
      <c r="U234" s="15">
        <f t="shared" si="11"/>
        <v>2</v>
      </c>
    </row>
    <row r="235" spans="1:21" ht="18.75" customHeight="1">
      <c r="A235" s="16">
        <v>239</v>
      </c>
      <c r="B235" s="3">
        <v>39</v>
      </c>
      <c r="C235" s="4" t="s">
        <v>259</v>
      </c>
      <c r="D235" s="9" t="s">
        <v>441</v>
      </c>
      <c r="E235" s="5" t="s">
        <v>221</v>
      </c>
      <c r="F235" s="6">
        <v>56</v>
      </c>
      <c r="G235" s="6">
        <v>283</v>
      </c>
      <c r="H235" s="6">
        <v>158</v>
      </c>
      <c r="I235" s="6">
        <v>125</v>
      </c>
      <c r="J235" s="17">
        <f t="shared" si="9"/>
        <v>791.13924050632909</v>
      </c>
      <c r="K235" s="6">
        <v>0</v>
      </c>
      <c r="L235" s="6">
        <v>0</v>
      </c>
      <c r="M235" s="6">
        <v>0</v>
      </c>
      <c r="N235" s="7">
        <f t="shared" si="10"/>
        <v>0</v>
      </c>
      <c r="O235" s="6">
        <v>218</v>
      </c>
      <c r="P235" s="6">
        <v>120</v>
      </c>
      <c r="Q235" s="6">
        <v>98</v>
      </c>
      <c r="R235" s="7">
        <v>81.647940074906373</v>
      </c>
      <c r="S235" s="7">
        <v>83.91608391608392</v>
      </c>
      <c r="T235" s="7">
        <v>79.032258064516128</v>
      </c>
      <c r="U235" s="15">
        <f t="shared" si="11"/>
        <v>3</v>
      </c>
    </row>
    <row r="236" spans="1:21" ht="18.75" customHeight="1">
      <c r="A236" s="16">
        <v>240</v>
      </c>
      <c r="B236" s="3">
        <v>40</v>
      </c>
      <c r="C236" s="4" t="s">
        <v>260</v>
      </c>
      <c r="D236" s="9" t="s">
        <v>441</v>
      </c>
      <c r="E236" s="5" t="s">
        <v>221</v>
      </c>
      <c r="F236" s="6">
        <v>176</v>
      </c>
      <c r="G236" s="6">
        <v>844</v>
      </c>
      <c r="H236" s="6">
        <v>444</v>
      </c>
      <c r="I236" s="6">
        <v>400</v>
      </c>
      <c r="J236" s="17">
        <f t="shared" si="9"/>
        <v>900.90090090090087</v>
      </c>
      <c r="K236" s="6">
        <v>25</v>
      </c>
      <c r="L236" s="6">
        <v>15</v>
      </c>
      <c r="M236" s="6">
        <v>10</v>
      </c>
      <c r="N236" s="7">
        <f t="shared" si="10"/>
        <v>2.9620853080568721</v>
      </c>
      <c r="O236" s="6">
        <v>592</v>
      </c>
      <c r="P236" s="6">
        <v>334</v>
      </c>
      <c r="Q236" s="6">
        <v>258</v>
      </c>
      <c r="R236" s="7">
        <v>76.98309492847855</v>
      </c>
      <c r="S236" s="7">
        <v>82.67326732673267</v>
      </c>
      <c r="T236" s="7">
        <v>70.68493150684931</v>
      </c>
      <c r="U236" s="15">
        <f t="shared" si="11"/>
        <v>1</v>
      </c>
    </row>
    <row r="237" spans="1:21" ht="18.75" customHeight="1">
      <c r="A237" s="16">
        <v>241</v>
      </c>
      <c r="B237" s="3">
        <v>41</v>
      </c>
      <c r="C237" s="4" t="s">
        <v>261</v>
      </c>
      <c r="D237" s="9" t="s">
        <v>441</v>
      </c>
      <c r="E237" s="5" t="s">
        <v>221</v>
      </c>
      <c r="F237" s="6">
        <v>533</v>
      </c>
      <c r="G237" s="6">
        <v>3069</v>
      </c>
      <c r="H237" s="6">
        <v>1600</v>
      </c>
      <c r="I237" s="6">
        <v>1469</v>
      </c>
      <c r="J237" s="17">
        <f t="shared" si="9"/>
        <v>918.125</v>
      </c>
      <c r="K237" s="6">
        <v>282</v>
      </c>
      <c r="L237" s="6">
        <v>146</v>
      </c>
      <c r="M237" s="6">
        <v>136</v>
      </c>
      <c r="N237" s="7">
        <f t="shared" si="10"/>
        <v>9.1886608015640281</v>
      </c>
      <c r="O237" s="6">
        <v>2198</v>
      </c>
      <c r="P237" s="6">
        <v>1252</v>
      </c>
      <c r="Q237" s="6">
        <v>946</v>
      </c>
      <c r="R237" s="7">
        <v>79.78221415607986</v>
      </c>
      <c r="S237" s="7">
        <v>88.355681016231486</v>
      </c>
      <c r="T237" s="7">
        <v>70.70254110612855</v>
      </c>
      <c r="U237" s="15">
        <f t="shared" si="11"/>
        <v>1</v>
      </c>
    </row>
    <row r="238" spans="1:21" ht="18.75" customHeight="1">
      <c r="A238" s="16">
        <v>242</v>
      </c>
      <c r="B238" s="3">
        <v>42</v>
      </c>
      <c r="C238" s="4" t="s">
        <v>262</v>
      </c>
      <c r="D238" s="9" t="s">
        <v>441</v>
      </c>
      <c r="E238" s="5" t="s">
        <v>221</v>
      </c>
      <c r="F238" s="6">
        <v>140</v>
      </c>
      <c r="G238" s="6">
        <v>808</v>
      </c>
      <c r="H238" s="6">
        <v>413</v>
      </c>
      <c r="I238" s="6">
        <v>395</v>
      </c>
      <c r="J238" s="17">
        <f t="shared" si="9"/>
        <v>956.41646489104119</v>
      </c>
      <c r="K238" s="6">
        <v>436</v>
      </c>
      <c r="L238" s="6">
        <v>225</v>
      </c>
      <c r="M238" s="6">
        <v>211</v>
      </c>
      <c r="N238" s="7">
        <f t="shared" si="10"/>
        <v>53.960396039603964</v>
      </c>
      <c r="O238" s="6">
        <v>522</v>
      </c>
      <c r="P238" s="6">
        <v>280</v>
      </c>
      <c r="Q238" s="6">
        <v>242</v>
      </c>
      <c r="R238" s="7">
        <v>76.991150442477874</v>
      </c>
      <c r="S238" s="7">
        <v>82.84023668639054</v>
      </c>
      <c r="T238" s="7">
        <v>71.17647058823529</v>
      </c>
      <c r="U238" s="15">
        <f t="shared" si="11"/>
        <v>1</v>
      </c>
    </row>
    <row r="239" spans="1:21" ht="18.75" customHeight="1">
      <c r="A239" s="16">
        <v>243</v>
      </c>
      <c r="B239" s="3">
        <v>43</v>
      </c>
      <c r="C239" s="4" t="s">
        <v>263</v>
      </c>
      <c r="D239" s="9" t="s">
        <v>441</v>
      </c>
      <c r="E239" s="5" t="s">
        <v>221</v>
      </c>
      <c r="F239" s="6">
        <v>67</v>
      </c>
      <c r="G239" s="6">
        <v>365</v>
      </c>
      <c r="H239" s="6">
        <v>197</v>
      </c>
      <c r="I239" s="6">
        <v>168</v>
      </c>
      <c r="J239" s="17">
        <f t="shared" si="9"/>
        <v>852.79187817258878</v>
      </c>
      <c r="K239" s="6">
        <v>0</v>
      </c>
      <c r="L239" s="6">
        <v>0</v>
      </c>
      <c r="M239" s="6">
        <v>0</v>
      </c>
      <c r="N239" s="7">
        <f t="shared" si="10"/>
        <v>0</v>
      </c>
      <c r="O239" s="6">
        <v>237</v>
      </c>
      <c r="P239" s="6">
        <v>147</v>
      </c>
      <c r="Q239" s="6">
        <v>90</v>
      </c>
      <c r="R239" s="7">
        <v>72.256097560975604</v>
      </c>
      <c r="S239" s="7">
        <v>82.584269662921344</v>
      </c>
      <c r="T239" s="7">
        <v>60</v>
      </c>
      <c r="U239" s="15">
        <f t="shared" si="11"/>
        <v>2</v>
      </c>
    </row>
    <row r="240" spans="1:21" ht="18.75" customHeight="1">
      <c r="A240" s="16">
        <v>244</v>
      </c>
      <c r="B240" s="3">
        <v>44</v>
      </c>
      <c r="C240" s="4" t="s">
        <v>264</v>
      </c>
      <c r="D240" s="9" t="s">
        <v>441</v>
      </c>
      <c r="E240" s="5" t="s">
        <v>221</v>
      </c>
      <c r="F240" s="6">
        <v>510</v>
      </c>
      <c r="G240" s="6">
        <v>2618</v>
      </c>
      <c r="H240" s="6">
        <v>1398</v>
      </c>
      <c r="I240" s="6">
        <v>1220</v>
      </c>
      <c r="J240" s="17">
        <f t="shared" si="9"/>
        <v>872.67525035765379</v>
      </c>
      <c r="K240" s="6">
        <v>993</v>
      </c>
      <c r="L240" s="6">
        <v>534</v>
      </c>
      <c r="M240" s="6">
        <v>459</v>
      </c>
      <c r="N240" s="7">
        <f t="shared" si="10"/>
        <v>37.929717341482046</v>
      </c>
      <c r="O240" s="6">
        <v>1836</v>
      </c>
      <c r="P240" s="6">
        <v>1063</v>
      </c>
      <c r="Q240" s="6">
        <v>773</v>
      </c>
      <c r="R240" s="7">
        <v>78.562259306803597</v>
      </c>
      <c r="S240" s="7">
        <v>86.563517915309447</v>
      </c>
      <c r="T240" s="7">
        <v>69.702434625788996</v>
      </c>
      <c r="U240" s="15">
        <f t="shared" si="11"/>
        <v>2</v>
      </c>
    </row>
    <row r="241" spans="1:21" ht="18.75" customHeight="1">
      <c r="A241" s="16">
        <v>245</v>
      </c>
      <c r="B241" s="3">
        <v>45</v>
      </c>
      <c r="C241" s="4" t="s">
        <v>265</v>
      </c>
      <c r="D241" s="9" t="s">
        <v>441</v>
      </c>
      <c r="E241" s="5" t="s">
        <v>221</v>
      </c>
      <c r="F241" s="6">
        <v>55</v>
      </c>
      <c r="G241" s="6">
        <v>298</v>
      </c>
      <c r="H241" s="6">
        <v>155</v>
      </c>
      <c r="I241" s="6">
        <v>143</v>
      </c>
      <c r="J241" s="17">
        <f t="shared" si="9"/>
        <v>922.58064516129036</v>
      </c>
      <c r="K241" s="6">
        <v>69</v>
      </c>
      <c r="L241" s="6">
        <v>38</v>
      </c>
      <c r="M241" s="6">
        <v>31</v>
      </c>
      <c r="N241" s="7">
        <f t="shared" si="10"/>
        <v>23.154362416107382</v>
      </c>
      <c r="O241" s="6">
        <v>178</v>
      </c>
      <c r="P241" s="6">
        <v>100</v>
      </c>
      <c r="Q241" s="6">
        <v>78</v>
      </c>
      <c r="R241" s="7">
        <v>71.774193548387103</v>
      </c>
      <c r="S241" s="7">
        <v>76.335877862595424</v>
      </c>
      <c r="T241" s="7">
        <v>66.666666666666657</v>
      </c>
      <c r="U241" s="15">
        <f t="shared" si="11"/>
        <v>1</v>
      </c>
    </row>
    <row r="242" spans="1:21" ht="18.75" customHeight="1">
      <c r="A242" s="16">
        <v>246</v>
      </c>
      <c r="B242" s="3">
        <v>46</v>
      </c>
      <c r="C242" s="4" t="s">
        <v>266</v>
      </c>
      <c r="D242" s="9" t="s">
        <v>441</v>
      </c>
      <c r="E242" s="5" t="s">
        <v>221</v>
      </c>
      <c r="F242" s="6">
        <v>36</v>
      </c>
      <c r="G242" s="6">
        <v>188</v>
      </c>
      <c r="H242" s="6">
        <v>106</v>
      </c>
      <c r="I242" s="6">
        <v>82</v>
      </c>
      <c r="J242" s="17">
        <f t="shared" si="9"/>
        <v>773.58490566037744</v>
      </c>
      <c r="K242" s="6">
        <v>0</v>
      </c>
      <c r="L242" s="6">
        <v>0</v>
      </c>
      <c r="M242" s="6">
        <v>0</v>
      </c>
      <c r="N242" s="7">
        <f t="shared" si="10"/>
        <v>0</v>
      </c>
      <c r="O242" s="6">
        <v>127</v>
      </c>
      <c r="P242" s="6">
        <v>78</v>
      </c>
      <c r="Q242" s="6">
        <v>49</v>
      </c>
      <c r="R242" s="7">
        <v>74.705882352941174</v>
      </c>
      <c r="S242" s="7">
        <v>83.870967741935488</v>
      </c>
      <c r="T242" s="7">
        <v>63.636363636363633</v>
      </c>
      <c r="U242" s="15">
        <f t="shared" si="11"/>
        <v>3</v>
      </c>
    </row>
    <row r="243" spans="1:21" ht="18.75" customHeight="1">
      <c r="A243" s="16">
        <v>247</v>
      </c>
      <c r="B243" s="3">
        <v>47</v>
      </c>
      <c r="C243" s="4" t="s">
        <v>267</v>
      </c>
      <c r="D243" s="9" t="s">
        <v>441</v>
      </c>
      <c r="E243" s="5" t="s">
        <v>221</v>
      </c>
      <c r="F243" s="6">
        <v>229</v>
      </c>
      <c r="G243" s="6">
        <v>1260</v>
      </c>
      <c r="H243" s="6">
        <v>645</v>
      </c>
      <c r="I243" s="6">
        <v>615</v>
      </c>
      <c r="J243" s="17">
        <f t="shared" si="9"/>
        <v>953.48837209302326</v>
      </c>
      <c r="K243" s="6">
        <v>290</v>
      </c>
      <c r="L243" s="6">
        <v>152</v>
      </c>
      <c r="M243" s="6">
        <v>138</v>
      </c>
      <c r="N243" s="7">
        <f t="shared" si="10"/>
        <v>23.015873015873016</v>
      </c>
      <c r="O243" s="6">
        <v>884</v>
      </c>
      <c r="P243" s="6">
        <v>495</v>
      </c>
      <c r="Q243" s="6">
        <v>389</v>
      </c>
      <c r="R243" s="7">
        <v>79.282511210762323</v>
      </c>
      <c r="S243" s="7">
        <v>87.147887323943664</v>
      </c>
      <c r="T243" s="7">
        <v>71.115173674588661</v>
      </c>
      <c r="U243" s="15">
        <f t="shared" si="11"/>
        <v>1</v>
      </c>
    </row>
    <row r="244" spans="1:21" ht="18.75" customHeight="1">
      <c r="A244" s="16">
        <v>248</v>
      </c>
      <c r="B244" s="3">
        <v>48</v>
      </c>
      <c r="C244" s="4" t="s">
        <v>268</v>
      </c>
      <c r="D244" s="9" t="s">
        <v>441</v>
      </c>
      <c r="E244" s="5" t="s">
        <v>221</v>
      </c>
      <c r="F244" s="6">
        <v>277</v>
      </c>
      <c r="G244" s="6">
        <v>1396</v>
      </c>
      <c r="H244" s="6">
        <v>737</v>
      </c>
      <c r="I244" s="6">
        <v>659</v>
      </c>
      <c r="J244" s="17">
        <f t="shared" si="9"/>
        <v>894.16553595658081</v>
      </c>
      <c r="K244" s="6">
        <v>135</v>
      </c>
      <c r="L244" s="6">
        <v>65</v>
      </c>
      <c r="M244" s="6">
        <v>70</v>
      </c>
      <c r="N244" s="7">
        <f t="shared" si="10"/>
        <v>9.6704871060171929</v>
      </c>
      <c r="O244" s="6">
        <v>950</v>
      </c>
      <c r="P244" s="6">
        <v>561</v>
      </c>
      <c r="Q244" s="6">
        <v>389</v>
      </c>
      <c r="R244" s="7">
        <v>76.674737691686843</v>
      </c>
      <c r="S244" s="7">
        <v>85.77981651376146</v>
      </c>
      <c r="T244" s="7">
        <v>66.495726495726487</v>
      </c>
      <c r="U244" s="15">
        <f t="shared" si="11"/>
        <v>2</v>
      </c>
    </row>
    <row r="245" spans="1:21" ht="18.75" customHeight="1">
      <c r="A245" s="16">
        <v>249</v>
      </c>
      <c r="B245" s="3">
        <v>49</v>
      </c>
      <c r="C245" s="4" t="s">
        <v>269</v>
      </c>
      <c r="D245" s="9" t="s">
        <v>441</v>
      </c>
      <c r="E245" s="5" t="s">
        <v>221</v>
      </c>
      <c r="F245" s="6">
        <v>170</v>
      </c>
      <c r="G245" s="6">
        <v>874</v>
      </c>
      <c r="H245" s="6">
        <v>471</v>
      </c>
      <c r="I245" s="6">
        <v>403</v>
      </c>
      <c r="J245" s="17">
        <f t="shared" si="9"/>
        <v>855.62632696390665</v>
      </c>
      <c r="K245" s="6">
        <v>30</v>
      </c>
      <c r="L245" s="6">
        <v>13</v>
      </c>
      <c r="M245" s="6">
        <v>17</v>
      </c>
      <c r="N245" s="7">
        <f t="shared" si="10"/>
        <v>3.4324942791762014</v>
      </c>
      <c r="O245" s="6">
        <v>579</v>
      </c>
      <c r="P245" s="6">
        <v>344</v>
      </c>
      <c r="Q245" s="6">
        <v>235</v>
      </c>
      <c r="R245" s="7">
        <v>75.488917861799223</v>
      </c>
      <c r="S245" s="7">
        <v>82.891566265060248</v>
      </c>
      <c r="T245" s="7">
        <v>66.76136363636364</v>
      </c>
      <c r="U245" s="15">
        <f t="shared" si="11"/>
        <v>2</v>
      </c>
    </row>
    <row r="246" spans="1:21" ht="18.75" customHeight="1">
      <c r="A246" s="16">
        <v>250</v>
      </c>
      <c r="B246" s="3">
        <v>1</v>
      </c>
      <c r="C246" s="4" t="s">
        <v>270</v>
      </c>
      <c r="D246" s="9" t="s">
        <v>441</v>
      </c>
      <c r="E246" s="5" t="s">
        <v>271</v>
      </c>
      <c r="F246" s="6">
        <v>503</v>
      </c>
      <c r="G246" s="6">
        <v>2470</v>
      </c>
      <c r="H246" s="6">
        <v>1256</v>
      </c>
      <c r="I246" s="6">
        <v>1214</v>
      </c>
      <c r="J246" s="17">
        <f t="shared" si="9"/>
        <v>966.56050955414003</v>
      </c>
      <c r="K246" s="6">
        <v>44</v>
      </c>
      <c r="L246" s="6">
        <v>30</v>
      </c>
      <c r="M246" s="6">
        <v>14</v>
      </c>
      <c r="N246" s="7">
        <f t="shared" si="10"/>
        <v>1.7813765182186234</v>
      </c>
      <c r="O246" s="6">
        <v>1514</v>
      </c>
      <c r="P246" s="6">
        <v>812</v>
      </c>
      <c r="Q246" s="6">
        <v>702</v>
      </c>
      <c r="R246" s="7">
        <v>68.849477035015923</v>
      </c>
      <c r="S246" s="7">
        <v>74.223034734917732</v>
      </c>
      <c r="T246" s="7">
        <v>63.529411764705877</v>
      </c>
      <c r="U246" s="15">
        <f t="shared" si="11"/>
        <v>1</v>
      </c>
    </row>
    <row r="247" spans="1:21" ht="18.75" customHeight="1">
      <c r="A247" s="16">
        <v>251</v>
      </c>
      <c r="B247" s="3">
        <v>2</v>
      </c>
      <c r="C247" s="4" t="s">
        <v>272</v>
      </c>
      <c r="D247" s="9" t="s">
        <v>441</v>
      </c>
      <c r="E247" s="5" t="s">
        <v>271</v>
      </c>
      <c r="F247" s="6">
        <v>826</v>
      </c>
      <c r="G247" s="6">
        <v>3934</v>
      </c>
      <c r="H247" s="6">
        <v>2078</v>
      </c>
      <c r="I247" s="6">
        <v>1856</v>
      </c>
      <c r="J247" s="17">
        <f t="shared" si="9"/>
        <v>893.1665062560154</v>
      </c>
      <c r="K247" s="6">
        <v>479</v>
      </c>
      <c r="L247" s="6">
        <v>255</v>
      </c>
      <c r="M247" s="6">
        <v>224</v>
      </c>
      <c r="N247" s="7">
        <f t="shared" si="10"/>
        <v>12.17590238942552</v>
      </c>
      <c r="O247" s="6">
        <v>2271</v>
      </c>
      <c r="P247" s="6">
        <v>1313</v>
      </c>
      <c r="Q247" s="6">
        <v>958</v>
      </c>
      <c r="R247" s="7">
        <v>65.541125541125538</v>
      </c>
      <c r="S247" s="7">
        <v>72.702104097452931</v>
      </c>
      <c r="T247" s="7">
        <v>57.74562989752863</v>
      </c>
      <c r="U247" s="15">
        <f t="shared" si="11"/>
        <v>2</v>
      </c>
    </row>
    <row r="248" spans="1:21" ht="18.75" customHeight="1">
      <c r="A248" s="16">
        <v>252</v>
      </c>
      <c r="B248" s="3">
        <v>3</v>
      </c>
      <c r="C248" s="4" t="s">
        <v>273</v>
      </c>
      <c r="D248" s="9" t="s">
        <v>441</v>
      </c>
      <c r="E248" s="5" t="s">
        <v>271</v>
      </c>
      <c r="F248" s="6">
        <v>125</v>
      </c>
      <c r="G248" s="6">
        <v>595</v>
      </c>
      <c r="H248" s="6">
        <v>286</v>
      </c>
      <c r="I248" s="6">
        <v>309</v>
      </c>
      <c r="J248" s="17">
        <f t="shared" si="9"/>
        <v>1080.4195804195804</v>
      </c>
      <c r="K248" s="6">
        <v>221</v>
      </c>
      <c r="L248" s="6">
        <v>111</v>
      </c>
      <c r="M248" s="6">
        <v>110</v>
      </c>
      <c r="N248" s="7">
        <f t="shared" si="10"/>
        <v>37.142857142857146</v>
      </c>
      <c r="O248" s="6">
        <v>368</v>
      </c>
      <c r="P248" s="6">
        <v>191</v>
      </c>
      <c r="Q248" s="6">
        <v>177</v>
      </c>
      <c r="R248" s="7">
        <v>73.161033797216703</v>
      </c>
      <c r="S248" s="7">
        <v>78.600823045267489</v>
      </c>
      <c r="T248" s="7">
        <v>68.07692307692308</v>
      </c>
      <c r="U248" s="15">
        <f t="shared" si="11"/>
        <v>1</v>
      </c>
    </row>
    <row r="249" spans="1:21" ht="18.75" customHeight="1">
      <c r="A249" s="16">
        <v>253</v>
      </c>
      <c r="B249" s="3">
        <v>4</v>
      </c>
      <c r="C249" s="4" t="s">
        <v>274</v>
      </c>
      <c r="D249" s="9" t="s">
        <v>441</v>
      </c>
      <c r="E249" s="5" t="s">
        <v>271</v>
      </c>
      <c r="F249" s="6">
        <v>466</v>
      </c>
      <c r="G249" s="6">
        <v>2464</v>
      </c>
      <c r="H249" s="6">
        <v>1298</v>
      </c>
      <c r="I249" s="6">
        <v>1166</v>
      </c>
      <c r="J249" s="17">
        <f t="shared" si="9"/>
        <v>898.30508474576277</v>
      </c>
      <c r="K249" s="6">
        <v>800</v>
      </c>
      <c r="L249" s="6">
        <v>423</v>
      </c>
      <c r="M249" s="6">
        <v>377</v>
      </c>
      <c r="N249" s="7">
        <f t="shared" si="10"/>
        <v>32.467532467532465</v>
      </c>
      <c r="O249" s="6">
        <v>1394</v>
      </c>
      <c r="P249" s="6">
        <v>823</v>
      </c>
      <c r="Q249" s="6">
        <v>571</v>
      </c>
      <c r="R249" s="7">
        <v>64.746864839758473</v>
      </c>
      <c r="S249" s="7">
        <v>72.960992907801412</v>
      </c>
      <c r="T249" s="7">
        <v>55.707317073170735</v>
      </c>
      <c r="U249" s="15">
        <f t="shared" si="11"/>
        <v>2</v>
      </c>
    </row>
    <row r="250" spans="1:21" ht="18.75" customHeight="1">
      <c r="A250" s="16">
        <v>254</v>
      </c>
      <c r="B250" s="3">
        <v>5</v>
      </c>
      <c r="C250" s="4" t="s">
        <v>275</v>
      </c>
      <c r="D250" s="9" t="s">
        <v>441</v>
      </c>
      <c r="E250" s="5" t="s">
        <v>271</v>
      </c>
      <c r="F250" s="6">
        <v>346</v>
      </c>
      <c r="G250" s="6">
        <v>1902</v>
      </c>
      <c r="H250" s="6">
        <v>981</v>
      </c>
      <c r="I250" s="6">
        <v>921</v>
      </c>
      <c r="J250" s="17">
        <f t="shared" si="9"/>
        <v>938.83792048929661</v>
      </c>
      <c r="K250" s="6">
        <v>564</v>
      </c>
      <c r="L250" s="6">
        <v>290</v>
      </c>
      <c r="M250" s="6">
        <v>274</v>
      </c>
      <c r="N250" s="7">
        <f t="shared" si="10"/>
        <v>29.652996845425868</v>
      </c>
      <c r="O250" s="6">
        <v>1127</v>
      </c>
      <c r="P250" s="6">
        <v>676</v>
      </c>
      <c r="Q250" s="6">
        <v>451</v>
      </c>
      <c r="R250" s="7">
        <v>69.056372549019613</v>
      </c>
      <c r="S250" s="7">
        <v>79.529411764705884</v>
      </c>
      <c r="T250" s="7">
        <v>57.672634271099746</v>
      </c>
      <c r="U250" s="15">
        <f t="shared" si="11"/>
        <v>1</v>
      </c>
    </row>
    <row r="251" spans="1:21" ht="18.75" customHeight="1">
      <c r="A251" s="16">
        <v>255</v>
      </c>
      <c r="B251" s="3">
        <v>6</v>
      </c>
      <c r="C251" s="4" t="s">
        <v>276</v>
      </c>
      <c r="D251" s="9" t="s">
        <v>441</v>
      </c>
      <c r="E251" s="5" t="s">
        <v>271</v>
      </c>
      <c r="F251" s="6">
        <v>422</v>
      </c>
      <c r="G251" s="6">
        <v>2289</v>
      </c>
      <c r="H251" s="6">
        <v>1234</v>
      </c>
      <c r="I251" s="6">
        <v>1055</v>
      </c>
      <c r="J251" s="17">
        <f t="shared" si="9"/>
        <v>854.94327390599676</v>
      </c>
      <c r="K251" s="6">
        <v>383</v>
      </c>
      <c r="L251" s="6">
        <v>203</v>
      </c>
      <c r="M251" s="6">
        <v>180</v>
      </c>
      <c r="N251" s="7">
        <f t="shared" si="10"/>
        <v>16.73219746614242</v>
      </c>
      <c r="O251" s="6">
        <v>1433</v>
      </c>
      <c r="P251" s="6">
        <v>839</v>
      </c>
      <c r="Q251" s="6">
        <v>594</v>
      </c>
      <c r="R251" s="7">
        <v>71.151936444885806</v>
      </c>
      <c r="S251" s="7">
        <v>78.631677600749754</v>
      </c>
      <c r="T251" s="7">
        <v>62.724392819429774</v>
      </c>
      <c r="U251" s="15">
        <f t="shared" si="11"/>
        <v>2</v>
      </c>
    </row>
    <row r="252" spans="1:21" ht="18.75" customHeight="1">
      <c r="A252" s="16">
        <v>256</v>
      </c>
      <c r="B252" s="3">
        <v>7</v>
      </c>
      <c r="C252" s="4" t="s">
        <v>277</v>
      </c>
      <c r="D252" s="9" t="s">
        <v>441</v>
      </c>
      <c r="E252" s="5" t="s">
        <v>271</v>
      </c>
      <c r="F252" s="6">
        <v>1028</v>
      </c>
      <c r="G252" s="6">
        <v>5129</v>
      </c>
      <c r="H252" s="6">
        <v>2679</v>
      </c>
      <c r="I252" s="6">
        <v>2450</v>
      </c>
      <c r="J252" s="17">
        <f t="shared" si="9"/>
        <v>914.52034341172089</v>
      </c>
      <c r="K252" s="6">
        <v>560</v>
      </c>
      <c r="L252" s="6">
        <v>300</v>
      </c>
      <c r="M252" s="6">
        <v>260</v>
      </c>
      <c r="N252" s="7">
        <f t="shared" si="10"/>
        <v>10.918307662312342</v>
      </c>
      <c r="O252" s="6">
        <v>3235</v>
      </c>
      <c r="P252" s="6">
        <v>1848</v>
      </c>
      <c r="Q252" s="6">
        <v>1387</v>
      </c>
      <c r="R252" s="7">
        <v>71.349801499779446</v>
      </c>
      <c r="S252" s="7">
        <v>78.738815509160631</v>
      </c>
      <c r="T252" s="7">
        <v>63.420210333790585</v>
      </c>
      <c r="U252" s="15">
        <f t="shared" si="11"/>
        <v>1</v>
      </c>
    </row>
    <row r="253" spans="1:21" ht="18.75" customHeight="1">
      <c r="A253" s="16">
        <v>257</v>
      </c>
      <c r="B253" s="3">
        <v>8</v>
      </c>
      <c r="C253" s="4" t="s">
        <v>278</v>
      </c>
      <c r="D253" s="9" t="s">
        <v>441</v>
      </c>
      <c r="E253" s="5" t="s">
        <v>271</v>
      </c>
      <c r="F253" s="6">
        <v>139</v>
      </c>
      <c r="G253" s="6">
        <v>841</v>
      </c>
      <c r="H253" s="6">
        <v>452</v>
      </c>
      <c r="I253" s="6">
        <v>389</v>
      </c>
      <c r="J253" s="17">
        <f t="shared" ref="J253:J312" si="12">I253/H253*1000</f>
        <v>860.61946902654859</v>
      </c>
      <c r="K253" s="6">
        <v>236</v>
      </c>
      <c r="L253" s="6">
        <v>125</v>
      </c>
      <c r="M253" s="6">
        <v>111</v>
      </c>
      <c r="N253" s="7">
        <f t="shared" ref="N253:N312" si="13">K253/G253*100</f>
        <v>28.061831153388823</v>
      </c>
      <c r="O253" s="6">
        <v>569</v>
      </c>
      <c r="P253" s="6">
        <v>324</v>
      </c>
      <c r="Q253" s="6">
        <v>245</v>
      </c>
      <c r="R253" s="7">
        <v>76.995940460081187</v>
      </c>
      <c r="S253" s="7">
        <v>82.025316455696213</v>
      </c>
      <c r="T253" s="7">
        <v>71.220930232558146</v>
      </c>
      <c r="U253" s="15">
        <f t="shared" si="11"/>
        <v>2</v>
      </c>
    </row>
    <row r="254" spans="1:21" ht="18.75" customHeight="1">
      <c r="A254" s="16">
        <v>258</v>
      </c>
      <c r="B254" s="3">
        <v>9</v>
      </c>
      <c r="C254" s="4" t="s">
        <v>279</v>
      </c>
      <c r="D254" s="9" t="s">
        <v>441</v>
      </c>
      <c r="E254" s="5" t="s">
        <v>271</v>
      </c>
      <c r="F254" s="6">
        <v>193</v>
      </c>
      <c r="G254" s="6">
        <v>1046</v>
      </c>
      <c r="H254" s="6">
        <v>561</v>
      </c>
      <c r="I254" s="6">
        <v>485</v>
      </c>
      <c r="J254" s="17">
        <f t="shared" si="12"/>
        <v>864.52762923351156</v>
      </c>
      <c r="K254" s="6">
        <v>36</v>
      </c>
      <c r="L254" s="6">
        <v>25</v>
      </c>
      <c r="M254" s="6">
        <v>11</v>
      </c>
      <c r="N254" s="7">
        <f t="shared" si="13"/>
        <v>3.4416826003824093</v>
      </c>
      <c r="O254" s="6">
        <v>593</v>
      </c>
      <c r="P254" s="6">
        <v>364</v>
      </c>
      <c r="Q254" s="6">
        <v>229</v>
      </c>
      <c r="R254" s="7">
        <v>67.233560090702952</v>
      </c>
      <c r="S254" s="7">
        <v>78.958785249457691</v>
      </c>
      <c r="T254" s="7">
        <v>54.394299287410931</v>
      </c>
      <c r="U254" s="15">
        <f t="shared" ref="U254:U313" si="14">IF($J254&gt;900,1,IF($J254&gt;800,2,IF($J254&gt;700,3,0)))</f>
        <v>2</v>
      </c>
    </row>
    <row r="255" spans="1:21" ht="18.75" customHeight="1">
      <c r="A255" s="16">
        <v>259</v>
      </c>
      <c r="B255" s="3">
        <v>10</v>
      </c>
      <c r="C255" s="4" t="s">
        <v>280</v>
      </c>
      <c r="D255" s="9" t="s">
        <v>441</v>
      </c>
      <c r="E255" s="5" t="s">
        <v>271</v>
      </c>
      <c r="F255" s="6">
        <v>624</v>
      </c>
      <c r="G255" s="6">
        <v>3392</v>
      </c>
      <c r="H255" s="6">
        <v>1773</v>
      </c>
      <c r="I255" s="6">
        <v>1619</v>
      </c>
      <c r="J255" s="17">
        <f t="shared" si="12"/>
        <v>913.14156796390296</v>
      </c>
      <c r="K255" s="6">
        <v>661</v>
      </c>
      <c r="L255" s="6">
        <v>341</v>
      </c>
      <c r="M255" s="6">
        <v>320</v>
      </c>
      <c r="N255" s="7">
        <f t="shared" si="13"/>
        <v>19.487028301886792</v>
      </c>
      <c r="O255" s="6">
        <v>2163</v>
      </c>
      <c r="P255" s="6">
        <v>1256</v>
      </c>
      <c r="Q255" s="6">
        <v>907</v>
      </c>
      <c r="R255" s="7">
        <v>73.148461278322628</v>
      </c>
      <c r="S255" s="7">
        <v>81.50551589876703</v>
      </c>
      <c r="T255" s="7">
        <v>64.05367231638418</v>
      </c>
      <c r="U255" s="15">
        <f t="shared" si="14"/>
        <v>1</v>
      </c>
    </row>
    <row r="256" spans="1:21" ht="18.75" customHeight="1">
      <c r="A256" s="16">
        <v>260</v>
      </c>
      <c r="B256" s="3">
        <v>11</v>
      </c>
      <c r="C256" s="4" t="s">
        <v>281</v>
      </c>
      <c r="D256" s="9" t="s">
        <v>441</v>
      </c>
      <c r="E256" s="5" t="s">
        <v>271</v>
      </c>
      <c r="F256" s="6">
        <v>314</v>
      </c>
      <c r="G256" s="6">
        <v>1649</v>
      </c>
      <c r="H256" s="6">
        <v>884</v>
      </c>
      <c r="I256" s="6">
        <v>765</v>
      </c>
      <c r="J256" s="17">
        <f t="shared" si="12"/>
        <v>865.38461538461547</v>
      </c>
      <c r="K256" s="6">
        <v>304</v>
      </c>
      <c r="L256" s="6">
        <v>162</v>
      </c>
      <c r="M256" s="6">
        <v>142</v>
      </c>
      <c r="N256" s="7">
        <f t="shared" si="13"/>
        <v>18.435415403274714</v>
      </c>
      <c r="O256" s="6">
        <v>981</v>
      </c>
      <c r="P256" s="6">
        <v>562</v>
      </c>
      <c r="Q256" s="6">
        <v>419</v>
      </c>
      <c r="R256" s="7">
        <v>70.524802300503225</v>
      </c>
      <c r="S256" s="7">
        <v>76.566757493188007</v>
      </c>
      <c r="T256" s="7">
        <v>63.774733637747339</v>
      </c>
      <c r="U256" s="15">
        <f t="shared" si="14"/>
        <v>2</v>
      </c>
    </row>
    <row r="257" spans="1:21" ht="18.75" customHeight="1">
      <c r="A257" s="16">
        <v>261</v>
      </c>
      <c r="B257" s="3">
        <v>12</v>
      </c>
      <c r="C257" s="4" t="s">
        <v>282</v>
      </c>
      <c r="D257" s="9" t="s">
        <v>441</v>
      </c>
      <c r="E257" s="5" t="s">
        <v>271</v>
      </c>
      <c r="F257" s="6">
        <v>200</v>
      </c>
      <c r="G257" s="6">
        <v>1037</v>
      </c>
      <c r="H257" s="6">
        <v>536</v>
      </c>
      <c r="I257" s="6">
        <v>501</v>
      </c>
      <c r="J257" s="17">
        <f t="shared" si="12"/>
        <v>934.70149253731336</v>
      </c>
      <c r="K257" s="6">
        <v>247</v>
      </c>
      <c r="L257" s="6">
        <v>129</v>
      </c>
      <c r="M257" s="6">
        <v>118</v>
      </c>
      <c r="N257" s="7">
        <f t="shared" si="13"/>
        <v>23.818707810993249</v>
      </c>
      <c r="O257" s="6">
        <v>622</v>
      </c>
      <c r="P257" s="6">
        <v>345</v>
      </c>
      <c r="Q257" s="6">
        <v>277</v>
      </c>
      <c r="R257" s="7">
        <v>67.170626349892004</v>
      </c>
      <c r="S257" s="7">
        <v>72.327044025157221</v>
      </c>
      <c r="T257" s="7">
        <v>61.692650334075729</v>
      </c>
      <c r="U257" s="15">
        <f t="shared" si="14"/>
        <v>1</v>
      </c>
    </row>
    <row r="258" spans="1:21" ht="18.75" customHeight="1">
      <c r="A258" s="16">
        <v>262</v>
      </c>
      <c r="B258" s="3">
        <v>13</v>
      </c>
      <c r="C258" s="4" t="s">
        <v>283</v>
      </c>
      <c r="D258" s="9" t="s">
        <v>441</v>
      </c>
      <c r="E258" s="5" t="s">
        <v>271</v>
      </c>
      <c r="F258" s="6">
        <v>199</v>
      </c>
      <c r="G258" s="6">
        <v>1073</v>
      </c>
      <c r="H258" s="6">
        <v>552</v>
      </c>
      <c r="I258" s="6">
        <v>521</v>
      </c>
      <c r="J258" s="17">
        <f t="shared" si="12"/>
        <v>943.84057971014488</v>
      </c>
      <c r="K258" s="6">
        <v>148</v>
      </c>
      <c r="L258" s="6">
        <v>74</v>
      </c>
      <c r="M258" s="6">
        <v>74</v>
      </c>
      <c r="N258" s="7">
        <f t="shared" si="13"/>
        <v>13.793103448275861</v>
      </c>
      <c r="O258" s="6">
        <v>574</v>
      </c>
      <c r="P258" s="6">
        <v>308</v>
      </c>
      <c r="Q258" s="6">
        <v>266</v>
      </c>
      <c r="R258" s="7">
        <v>61.65413533834586</v>
      </c>
      <c r="S258" s="7">
        <v>65.531914893617014</v>
      </c>
      <c r="T258" s="7">
        <v>57.700650759219087</v>
      </c>
      <c r="U258" s="15">
        <f t="shared" si="14"/>
        <v>1</v>
      </c>
    </row>
    <row r="259" spans="1:21" ht="18.75" customHeight="1">
      <c r="A259" s="16">
        <v>263</v>
      </c>
      <c r="B259" s="3">
        <v>14</v>
      </c>
      <c r="C259" s="4" t="s">
        <v>284</v>
      </c>
      <c r="D259" s="9" t="s">
        <v>441</v>
      </c>
      <c r="E259" s="5" t="s">
        <v>271</v>
      </c>
      <c r="F259" s="6">
        <v>156</v>
      </c>
      <c r="G259" s="6">
        <v>873</v>
      </c>
      <c r="H259" s="6">
        <v>463</v>
      </c>
      <c r="I259" s="6">
        <v>410</v>
      </c>
      <c r="J259" s="17">
        <f t="shared" si="12"/>
        <v>885.52915766738658</v>
      </c>
      <c r="K259" s="6">
        <v>17</v>
      </c>
      <c r="L259" s="6">
        <v>10</v>
      </c>
      <c r="M259" s="6">
        <v>7</v>
      </c>
      <c r="N259" s="7">
        <f t="shared" si="13"/>
        <v>1.9473081328751431</v>
      </c>
      <c r="O259" s="6">
        <v>569</v>
      </c>
      <c r="P259" s="6">
        <v>342</v>
      </c>
      <c r="Q259" s="6">
        <v>227</v>
      </c>
      <c r="R259" s="7">
        <v>75.664893617021278</v>
      </c>
      <c r="S259" s="7">
        <v>85.5</v>
      </c>
      <c r="T259" s="7">
        <v>64.48863636363636</v>
      </c>
      <c r="U259" s="15">
        <f t="shared" si="14"/>
        <v>2</v>
      </c>
    </row>
    <row r="260" spans="1:21" ht="18.75" customHeight="1">
      <c r="A260" s="16">
        <v>264</v>
      </c>
      <c r="B260" s="3">
        <v>15</v>
      </c>
      <c r="C260" s="4" t="s">
        <v>285</v>
      </c>
      <c r="D260" s="9" t="s">
        <v>441</v>
      </c>
      <c r="E260" s="5" t="s">
        <v>271</v>
      </c>
      <c r="F260" s="6">
        <v>167</v>
      </c>
      <c r="G260" s="6">
        <v>843</v>
      </c>
      <c r="H260" s="6">
        <v>451</v>
      </c>
      <c r="I260" s="6">
        <v>392</v>
      </c>
      <c r="J260" s="17">
        <f t="shared" si="12"/>
        <v>869.17960088691791</v>
      </c>
      <c r="K260" s="6">
        <v>203</v>
      </c>
      <c r="L260" s="6">
        <v>117</v>
      </c>
      <c r="M260" s="6">
        <v>86</v>
      </c>
      <c r="N260" s="7">
        <f t="shared" si="13"/>
        <v>24.080664294187425</v>
      </c>
      <c r="O260" s="6">
        <v>492</v>
      </c>
      <c r="P260" s="6">
        <v>299</v>
      </c>
      <c r="Q260" s="6">
        <v>193</v>
      </c>
      <c r="R260" s="7">
        <v>67.397260273972606</v>
      </c>
      <c r="S260" s="7">
        <v>75.696202531645568</v>
      </c>
      <c r="T260" s="7">
        <v>57.611940298507456</v>
      </c>
      <c r="U260" s="15">
        <f t="shared" si="14"/>
        <v>2</v>
      </c>
    </row>
    <row r="261" spans="1:21" ht="18.75" customHeight="1">
      <c r="A261" s="16">
        <v>265</v>
      </c>
      <c r="B261" s="3">
        <v>16</v>
      </c>
      <c r="C261" s="4" t="s">
        <v>286</v>
      </c>
      <c r="D261" s="9" t="s">
        <v>441</v>
      </c>
      <c r="E261" s="5" t="s">
        <v>271</v>
      </c>
      <c r="F261" s="6">
        <v>1147</v>
      </c>
      <c r="G261" s="6">
        <v>5520</v>
      </c>
      <c r="H261" s="6">
        <v>2859</v>
      </c>
      <c r="I261" s="6">
        <v>2661</v>
      </c>
      <c r="J261" s="17">
        <f t="shared" si="12"/>
        <v>930.7450157397692</v>
      </c>
      <c r="K261" s="6">
        <v>737</v>
      </c>
      <c r="L261" s="6">
        <v>386</v>
      </c>
      <c r="M261" s="6">
        <v>351</v>
      </c>
      <c r="N261" s="7">
        <f t="shared" si="13"/>
        <v>13.351449275362318</v>
      </c>
      <c r="O261" s="6">
        <v>2756</v>
      </c>
      <c r="P261" s="6">
        <v>1573</v>
      </c>
      <c r="Q261" s="6">
        <v>1183</v>
      </c>
      <c r="R261" s="7">
        <v>59.87399522050837</v>
      </c>
      <c r="S261" s="7">
        <v>65.651085141903181</v>
      </c>
      <c r="T261" s="7">
        <v>53.602174898051658</v>
      </c>
      <c r="U261" s="15">
        <f t="shared" si="14"/>
        <v>1</v>
      </c>
    </row>
    <row r="262" spans="1:21" ht="18.75" customHeight="1">
      <c r="A262" s="16">
        <v>267</v>
      </c>
      <c r="B262" s="3">
        <v>18</v>
      </c>
      <c r="C262" s="4" t="s">
        <v>288</v>
      </c>
      <c r="D262" s="9" t="s">
        <v>441</v>
      </c>
      <c r="E262" s="5" t="s">
        <v>271</v>
      </c>
      <c r="F262" s="6">
        <v>193</v>
      </c>
      <c r="G262" s="6">
        <v>934</v>
      </c>
      <c r="H262" s="6">
        <v>506</v>
      </c>
      <c r="I262" s="6">
        <v>428</v>
      </c>
      <c r="J262" s="17">
        <f t="shared" si="12"/>
        <v>845.8498023715415</v>
      </c>
      <c r="K262" s="6">
        <v>471</v>
      </c>
      <c r="L262" s="6">
        <v>254</v>
      </c>
      <c r="M262" s="6">
        <v>217</v>
      </c>
      <c r="N262" s="7">
        <f t="shared" si="13"/>
        <v>50.428265524625274</v>
      </c>
      <c r="O262" s="6">
        <v>613</v>
      </c>
      <c r="P262" s="6">
        <v>361</v>
      </c>
      <c r="Q262" s="6">
        <v>252</v>
      </c>
      <c r="R262" s="7">
        <v>74.574209245742097</v>
      </c>
      <c r="S262" s="7">
        <v>82.420091324200911</v>
      </c>
      <c r="T262" s="7">
        <v>65.625</v>
      </c>
      <c r="U262" s="15">
        <f t="shared" si="14"/>
        <v>2</v>
      </c>
    </row>
    <row r="263" spans="1:21" ht="18.75" customHeight="1">
      <c r="A263" s="16">
        <v>268</v>
      </c>
      <c r="B263" s="3">
        <v>19</v>
      </c>
      <c r="C263" s="4" t="s">
        <v>289</v>
      </c>
      <c r="D263" s="9" t="s">
        <v>441</v>
      </c>
      <c r="E263" s="5" t="s">
        <v>271</v>
      </c>
      <c r="F263" s="6">
        <v>236</v>
      </c>
      <c r="G263" s="6">
        <v>1227</v>
      </c>
      <c r="H263" s="6">
        <v>653</v>
      </c>
      <c r="I263" s="6">
        <v>574</v>
      </c>
      <c r="J263" s="17">
        <f t="shared" si="12"/>
        <v>879.01990811638586</v>
      </c>
      <c r="K263" s="6">
        <v>130</v>
      </c>
      <c r="L263" s="6">
        <v>69</v>
      </c>
      <c r="M263" s="6">
        <v>61</v>
      </c>
      <c r="N263" s="7">
        <f t="shared" si="13"/>
        <v>10.594947025264874</v>
      </c>
      <c r="O263" s="6">
        <v>776</v>
      </c>
      <c r="P263" s="6">
        <v>460</v>
      </c>
      <c r="Q263" s="6">
        <v>316</v>
      </c>
      <c r="R263" s="7">
        <v>72.523364485981318</v>
      </c>
      <c r="S263" s="7">
        <v>81.415929203539832</v>
      </c>
      <c r="T263" s="7">
        <v>62.574257425742573</v>
      </c>
      <c r="U263" s="15">
        <f t="shared" si="14"/>
        <v>2</v>
      </c>
    </row>
    <row r="264" spans="1:21" ht="18.75" customHeight="1">
      <c r="A264" s="16">
        <v>269</v>
      </c>
      <c r="B264" s="3">
        <v>20</v>
      </c>
      <c r="C264" s="4" t="s">
        <v>290</v>
      </c>
      <c r="D264" s="9" t="s">
        <v>441</v>
      </c>
      <c r="E264" s="5" t="s">
        <v>271</v>
      </c>
      <c r="F264" s="6">
        <v>249</v>
      </c>
      <c r="G264" s="6">
        <v>1140</v>
      </c>
      <c r="H264" s="6">
        <v>594</v>
      </c>
      <c r="I264" s="6">
        <v>546</v>
      </c>
      <c r="J264" s="17">
        <f t="shared" si="12"/>
        <v>919.19191919191928</v>
      </c>
      <c r="K264" s="6">
        <v>458</v>
      </c>
      <c r="L264" s="6">
        <v>244</v>
      </c>
      <c r="M264" s="6">
        <v>214</v>
      </c>
      <c r="N264" s="7">
        <f t="shared" si="13"/>
        <v>40.175438596491233</v>
      </c>
      <c r="O264" s="6">
        <v>692</v>
      </c>
      <c r="P264" s="6">
        <v>395</v>
      </c>
      <c r="Q264" s="6">
        <v>297</v>
      </c>
      <c r="R264" s="7">
        <v>70.756646216768914</v>
      </c>
      <c r="S264" s="7">
        <v>78.528827037773368</v>
      </c>
      <c r="T264" s="7">
        <v>62.526315789473685</v>
      </c>
      <c r="U264" s="15">
        <f t="shared" si="14"/>
        <v>1</v>
      </c>
    </row>
    <row r="265" spans="1:21" ht="18.75" customHeight="1">
      <c r="A265" s="16">
        <v>270</v>
      </c>
      <c r="B265" s="3">
        <v>21</v>
      </c>
      <c r="C265" s="4" t="s">
        <v>291</v>
      </c>
      <c r="D265" s="9" t="s">
        <v>441</v>
      </c>
      <c r="E265" s="5" t="s">
        <v>271</v>
      </c>
      <c r="F265" s="6">
        <v>304</v>
      </c>
      <c r="G265" s="6">
        <v>1743</v>
      </c>
      <c r="H265" s="6">
        <v>928</v>
      </c>
      <c r="I265" s="6">
        <v>815</v>
      </c>
      <c r="J265" s="17">
        <f t="shared" si="12"/>
        <v>878.23275862068965</v>
      </c>
      <c r="K265" s="6">
        <v>645</v>
      </c>
      <c r="L265" s="6">
        <v>341</v>
      </c>
      <c r="M265" s="6">
        <v>304</v>
      </c>
      <c r="N265" s="7">
        <f t="shared" si="13"/>
        <v>37.005163511187604</v>
      </c>
      <c r="O265" s="6">
        <v>1019</v>
      </c>
      <c r="P265" s="6">
        <v>613</v>
      </c>
      <c r="Q265" s="6">
        <v>406</v>
      </c>
      <c r="R265" s="7">
        <v>68.11497326203208</v>
      </c>
      <c r="S265" s="7">
        <v>76.720901126408009</v>
      </c>
      <c r="T265" s="7">
        <v>58.249641319942612</v>
      </c>
      <c r="U265" s="15">
        <f t="shared" si="14"/>
        <v>2</v>
      </c>
    </row>
    <row r="266" spans="1:21" ht="18.75" customHeight="1">
      <c r="A266" s="16">
        <v>271</v>
      </c>
      <c r="B266" s="3">
        <v>22</v>
      </c>
      <c r="C266" s="4" t="s">
        <v>292</v>
      </c>
      <c r="D266" s="9" t="s">
        <v>441</v>
      </c>
      <c r="E266" s="5" t="s">
        <v>271</v>
      </c>
      <c r="F266" s="6">
        <v>1684</v>
      </c>
      <c r="G266" s="6">
        <v>8237</v>
      </c>
      <c r="H266" s="6">
        <v>4353</v>
      </c>
      <c r="I266" s="6">
        <v>3884</v>
      </c>
      <c r="J266" s="17">
        <f t="shared" si="12"/>
        <v>892.25821272685505</v>
      </c>
      <c r="K266" s="6">
        <v>3452</v>
      </c>
      <c r="L266" s="6">
        <v>1822</v>
      </c>
      <c r="M266" s="6">
        <v>1630</v>
      </c>
      <c r="N266" s="7">
        <f t="shared" si="13"/>
        <v>41.90846181862328</v>
      </c>
      <c r="O266" s="6">
        <v>4847</v>
      </c>
      <c r="P266" s="6">
        <v>2693</v>
      </c>
      <c r="Q266" s="6">
        <v>2154</v>
      </c>
      <c r="R266" s="7">
        <v>68.162002531289559</v>
      </c>
      <c r="S266" s="7">
        <v>72.005347593582897</v>
      </c>
      <c r="T266" s="7">
        <v>63.89795312963512</v>
      </c>
      <c r="U266" s="15">
        <f t="shared" si="14"/>
        <v>2</v>
      </c>
    </row>
    <row r="267" spans="1:21" ht="18.75" customHeight="1">
      <c r="A267" s="16">
        <v>272</v>
      </c>
      <c r="B267" s="3">
        <v>23</v>
      </c>
      <c r="C267" s="4" t="s">
        <v>293</v>
      </c>
      <c r="D267" s="9" t="s">
        <v>441</v>
      </c>
      <c r="E267" s="5" t="s">
        <v>271</v>
      </c>
      <c r="F267" s="6">
        <v>153</v>
      </c>
      <c r="G267" s="6">
        <v>850</v>
      </c>
      <c r="H267" s="6">
        <v>443</v>
      </c>
      <c r="I267" s="6">
        <v>407</v>
      </c>
      <c r="J267" s="17">
        <f t="shared" si="12"/>
        <v>918.73589164785551</v>
      </c>
      <c r="K267" s="6">
        <v>297</v>
      </c>
      <c r="L267" s="6">
        <v>152</v>
      </c>
      <c r="M267" s="6">
        <v>145</v>
      </c>
      <c r="N267" s="7">
        <f t="shared" si="13"/>
        <v>34.941176470588239</v>
      </c>
      <c r="O267" s="6">
        <v>483</v>
      </c>
      <c r="P267" s="6">
        <v>272</v>
      </c>
      <c r="Q267" s="6">
        <v>211</v>
      </c>
      <c r="R267" s="7">
        <v>67.552447552447546</v>
      </c>
      <c r="S267" s="7">
        <v>73.71273712737127</v>
      </c>
      <c r="T267" s="7">
        <v>60.982658959537574</v>
      </c>
      <c r="U267" s="15">
        <f t="shared" si="14"/>
        <v>1</v>
      </c>
    </row>
    <row r="268" spans="1:21" ht="18.75" customHeight="1">
      <c r="A268" s="16">
        <v>273</v>
      </c>
      <c r="B268" s="3">
        <v>24</v>
      </c>
      <c r="C268" s="4" t="s">
        <v>294</v>
      </c>
      <c r="D268" s="9" t="s">
        <v>441</v>
      </c>
      <c r="E268" s="5" t="s">
        <v>271</v>
      </c>
      <c r="F268" s="6">
        <v>673</v>
      </c>
      <c r="G268" s="6">
        <v>3689</v>
      </c>
      <c r="H268" s="6">
        <v>1924</v>
      </c>
      <c r="I268" s="6">
        <v>1765</v>
      </c>
      <c r="J268" s="17">
        <f t="shared" si="12"/>
        <v>917.35966735966736</v>
      </c>
      <c r="K268" s="6">
        <v>934</v>
      </c>
      <c r="L268" s="6">
        <v>494</v>
      </c>
      <c r="M268" s="6">
        <v>440</v>
      </c>
      <c r="N268" s="7">
        <f t="shared" si="13"/>
        <v>25.318514502575223</v>
      </c>
      <c r="O268" s="6">
        <v>2184</v>
      </c>
      <c r="P268" s="6">
        <v>1263</v>
      </c>
      <c r="Q268" s="6">
        <v>921</v>
      </c>
      <c r="R268" s="7">
        <v>68.271334792122545</v>
      </c>
      <c r="S268" s="7">
        <v>76.871576384662205</v>
      </c>
      <c r="T268" s="7">
        <v>59.19023136246787</v>
      </c>
      <c r="U268" s="15">
        <f t="shared" si="14"/>
        <v>1</v>
      </c>
    </row>
    <row r="269" spans="1:21" ht="18.75" customHeight="1">
      <c r="A269" s="16">
        <v>274</v>
      </c>
      <c r="B269" s="3">
        <v>25</v>
      </c>
      <c r="C269" s="4" t="s">
        <v>295</v>
      </c>
      <c r="D269" s="9" t="s">
        <v>441</v>
      </c>
      <c r="E269" s="5" t="s">
        <v>271</v>
      </c>
      <c r="F269" s="6">
        <v>326</v>
      </c>
      <c r="G269" s="6">
        <v>1740</v>
      </c>
      <c r="H269" s="6">
        <v>910</v>
      </c>
      <c r="I269" s="6">
        <v>830</v>
      </c>
      <c r="J269" s="17">
        <f t="shared" si="12"/>
        <v>912.08791208791206</v>
      </c>
      <c r="K269" s="6">
        <v>240</v>
      </c>
      <c r="L269" s="6">
        <v>121</v>
      </c>
      <c r="M269" s="6">
        <v>119</v>
      </c>
      <c r="N269" s="7">
        <f t="shared" si="13"/>
        <v>13.793103448275861</v>
      </c>
      <c r="O269" s="6">
        <v>1035</v>
      </c>
      <c r="P269" s="6">
        <v>618</v>
      </c>
      <c r="Q269" s="6">
        <v>417</v>
      </c>
      <c r="R269" s="7">
        <v>68.862275449101801</v>
      </c>
      <c r="S269" s="7">
        <v>79.332477535301678</v>
      </c>
      <c r="T269" s="7">
        <v>57.596685082872924</v>
      </c>
      <c r="U269" s="15">
        <f t="shared" si="14"/>
        <v>1</v>
      </c>
    </row>
    <row r="270" spans="1:21" ht="18.75" customHeight="1">
      <c r="A270" s="16">
        <v>275</v>
      </c>
      <c r="B270" s="3">
        <v>26</v>
      </c>
      <c r="C270" s="4" t="s">
        <v>296</v>
      </c>
      <c r="D270" s="9" t="s">
        <v>441</v>
      </c>
      <c r="E270" s="5" t="s">
        <v>271</v>
      </c>
      <c r="F270" s="6">
        <v>190</v>
      </c>
      <c r="G270" s="6">
        <v>855</v>
      </c>
      <c r="H270" s="6">
        <v>453</v>
      </c>
      <c r="I270" s="6">
        <v>402</v>
      </c>
      <c r="J270" s="17">
        <f t="shared" si="12"/>
        <v>887.41721854304637</v>
      </c>
      <c r="K270" s="6">
        <v>97</v>
      </c>
      <c r="L270" s="6">
        <v>58</v>
      </c>
      <c r="M270" s="6">
        <v>39</v>
      </c>
      <c r="N270" s="7">
        <f t="shared" si="13"/>
        <v>11.345029239766081</v>
      </c>
      <c r="O270" s="6">
        <v>575</v>
      </c>
      <c r="P270" s="6">
        <v>327</v>
      </c>
      <c r="Q270" s="6">
        <v>248</v>
      </c>
      <c r="R270" s="7">
        <v>75.757575757575751</v>
      </c>
      <c r="S270" s="7">
        <v>82.994923857868017</v>
      </c>
      <c r="T270" s="7">
        <v>67.945205479452056</v>
      </c>
      <c r="U270" s="15">
        <f t="shared" si="14"/>
        <v>2</v>
      </c>
    </row>
    <row r="271" spans="1:21" ht="18.75" customHeight="1">
      <c r="A271" s="16">
        <v>276</v>
      </c>
      <c r="B271" s="3">
        <v>27</v>
      </c>
      <c r="C271" s="4" t="s">
        <v>297</v>
      </c>
      <c r="D271" s="9" t="s">
        <v>441</v>
      </c>
      <c r="E271" s="5" t="s">
        <v>271</v>
      </c>
      <c r="F271" s="6">
        <v>319</v>
      </c>
      <c r="G271" s="6">
        <v>1686</v>
      </c>
      <c r="H271" s="6">
        <v>862</v>
      </c>
      <c r="I271" s="6">
        <v>824</v>
      </c>
      <c r="J271" s="17">
        <f t="shared" si="12"/>
        <v>955.91647331786544</v>
      </c>
      <c r="K271" s="6">
        <v>247</v>
      </c>
      <c r="L271" s="6">
        <v>118</v>
      </c>
      <c r="M271" s="6">
        <v>129</v>
      </c>
      <c r="N271" s="7">
        <f t="shared" si="13"/>
        <v>14.650059311981019</v>
      </c>
      <c r="O271" s="6">
        <v>1029</v>
      </c>
      <c r="P271" s="6">
        <v>567</v>
      </c>
      <c r="Q271" s="6">
        <v>462</v>
      </c>
      <c r="R271" s="7">
        <v>70.334928229665067</v>
      </c>
      <c r="S271" s="7">
        <v>76.72530446549392</v>
      </c>
      <c r="T271" s="7">
        <v>63.812154696132595</v>
      </c>
      <c r="U271" s="15">
        <f t="shared" si="14"/>
        <v>1</v>
      </c>
    </row>
    <row r="272" spans="1:21" ht="18.75" customHeight="1">
      <c r="A272" s="16">
        <v>277</v>
      </c>
      <c r="B272" s="3">
        <v>28</v>
      </c>
      <c r="C272" s="4" t="s">
        <v>298</v>
      </c>
      <c r="D272" s="9" t="s">
        <v>441</v>
      </c>
      <c r="E272" s="5" t="s">
        <v>271</v>
      </c>
      <c r="F272" s="6">
        <v>232</v>
      </c>
      <c r="G272" s="6">
        <v>1166</v>
      </c>
      <c r="H272" s="6">
        <v>649</v>
      </c>
      <c r="I272" s="6">
        <v>517</v>
      </c>
      <c r="J272" s="17">
        <f t="shared" si="12"/>
        <v>796.61016949152543</v>
      </c>
      <c r="K272" s="6">
        <v>53</v>
      </c>
      <c r="L272" s="6">
        <v>25</v>
      </c>
      <c r="M272" s="6">
        <v>28</v>
      </c>
      <c r="N272" s="7">
        <f t="shared" si="13"/>
        <v>4.5454545454545459</v>
      </c>
      <c r="O272" s="6">
        <v>648</v>
      </c>
      <c r="P272" s="6">
        <v>376</v>
      </c>
      <c r="Q272" s="6">
        <v>272</v>
      </c>
      <c r="R272" s="7">
        <v>64.413518886679924</v>
      </c>
      <c r="S272" s="7">
        <v>66.666666666666657</v>
      </c>
      <c r="T272" s="7">
        <v>61.53846153846154</v>
      </c>
      <c r="U272" s="15">
        <f t="shared" si="14"/>
        <v>3</v>
      </c>
    </row>
    <row r="273" spans="1:21" ht="18.75" customHeight="1">
      <c r="A273" s="16">
        <v>278</v>
      </c>
      <c r="B273" s="3">
        <v>29</v>
      </c>
      <c r="C273" s="4" t="s">
        <v>299</v>
      </c>
      <c r="D273" s="9" t="s">
        <v>441</v>
      </c>
      <c r="E273" s="5" t="s">
        <v>271</v>
      </c>
      <c r="F273" s="6">
        <v>327</v>
      </c>
      <c r="G273" s="6">
        <v>1910</v>
      </c>
      <c r="H273" s="6">
        <v>1007</v>
      </c>
      <c r="I273" s="6">
        <v>903</v>
      </c>
      <c r="J273" s="17">
        <f t="shared" si="12"/>
        <v>896.72293942403178</v>
      </c>
      <c r="K273" s="6">
        <v>718</v>
      </c>
      <c r="L273" s="6">
        <v>391</v>
      </c>
      <c r="M273" s="6">
        <v>327</v>
      </c>
      <c r="N273" s="7">
        <f t="shared" si="13"/>
        <v>37.59162303664921</v>
      </c>
      <c r="O273" s="6">
        <v>988</v>
      </c>
      <c r="P273" s="6">
        <v>588</v>
      </c>
      <c r="Q273" s="6">
        <v>400</v>
      </c>
      <c r="R273" s="7">
        <v>59.697885196374621</v>
      </c>
      <c r="S273" s="7">
        <v>67.89838337182448</v>
      </c>
      <c r="T273" s="7">
        <v>50.697084917617239</v>
      </c>
      <c r="U273" s="15">
        <f t="shared" si="14"/>
        <v>2</v>
      </c>
    </row>
    <row r="274" spans="1:21" ht="18.75" customHeight="1">
      <c r="A274" s="16">
        <v>279</v>
      </c>
      <c r="B274" s="3">
        <v>30</v>
      </c>
      <c r="C274" s="4" t="s">
        <v>300</v>
      </c>
      <c r="D274" s="9" t="s">
        <v>441</v>
      </c>
      <c r="E274" s="5" t="s">
        <v>271</v>
      </c>
      <c r="F274" s="6">
        <v>684</v>
      </c>
      <c r="G274" s="6">
        <v>3501</v>
      </c>
      <c r="H274" s="6">
        <v>1761</v>
      </c>
      <c r="I274" s="6">
        <v>1740</v>
      </c>
      <c r="J274" s="17">
        <f t="shared" si="12"/>
        <v>988.07495741056221</v>
      </c>
      <c r="K274" s="6">
        <v>1137</v>
      </c>
      <c r="L274" s="6">
        <v>586</v>
      </c>
      <c r="M274" s="6">
        <v>551</v>
      </c>
      <c r="N274" s="7">
        <f t="shared" si="13"/>
        <v>32.476435304198802</v>
      </c>
      <c r="O274" s="6">
        <v>1956</v>
      </c>
      <c r="P274" s="6">
        <v>1075</v>
      </c>
      <c r="Q274" s="6">
        <v>881</v>
      </c>
      <c r="R274" s="7">
        <v>63.506493506493513</v>
      </c>
      <c r="S274" s="7">
        <v>70.261437908496731</v>
      </c>
      <c r="T274" s="7">
        <v>56.838709677419352</v>
      </c>
      <c r="U274" s="15">
        <f t="shared" si="14"/>
        <v>1</v>
      </c>
    </row>
    <row r="275" spans="1:21" ht="18.75" customHeight="1">
      <c r="A275" s="16">
        <v>280</v>
      </c>
      <c r="B275" s="3">
        <v>31</v>
      </c>
      <c r="C275" s="4" t="s">
        <v>301</v>
      </c>
      <c r="D275" s="9" t="s">
        <v>441</v>
      </c>
      <c r="E275" s="5" t="s">
        <v>271</v>
      </c>
      <c r="F275" s="6">
        <v>482</v>
      </c>
      <c r="G275" s="6">
        <v>2467</v>
      </c>
      <c r="H275" s="6">
        <v>1294</v>
      </c>
      <c r="I275" s="6">
        <v>1173</v>
      </c>
      <c r="J275" s="17">
        <f t="shared" si="12"/>
        <v>906.49149922720255</v>
      </c>
      <c r="K275" s="6">
        <v>128</v>
      </c>
      <c r="L275" s="6">
        <v>66</v>
      </c>
      <c r="M275" s="6">
        <v>62</v>
      </c>
      <c r="N275" s="7">
        <f t="shared" si="13"/>
        <v>5.1884880421564654</v>
      </c>
      <c r="O275" s="6">
        <v>1521</v>
      </c>
      <c r="P275" s="6">
        <v>879</v>
      </c>
      <c r="Q275" s="6">
        <v>642</v>
      </c>
      <c r="R275" s="7">
        <v>70.319001386962555</v>
      </c>
      <c r="S275" s="7">
        <v>78.552278820375335</v>
      </c>
      <c r="T275" s="7">
        <v>61.494252873563212</v>
      </c>
      <c r="U275" s="15">
        <f t="shared" si="14"/>
        <v>1</v>
      </c>
    </row>
    <row r="276" spans="1:21" ht="18.75" customHeight="1">
      <c r="A276" s="16">
        <v>281</v>
      </c>
      <c r="B276" s="3">
        <v>32</v>
      </c>
      <c r="C276" s="4" t="s">
        <v>302</v>
      </c>
      <c r="D276" s="9" t="s">
        <v>441</v>
      </c>
      <c r="E276" s="5" t="s">
        <v>271</v>
      </c>
      <c r="F276" s="6">
        <v>427</v>
      </c>
      <c r="G276" s="6">
        <v>2199</v>
      </c>
      <c r="H276" s="6">
        <v>1162</v>
      </c>
      <c r="I276" s="6">
        <v>1037</v>
      </c>
      <c r="J276" s="17">
        <f t="shared" si="12"/>
        <v>892.42685025817559</v>
      </c>
      <c r="K276" s="6">
        <v>794</v>
      </c>
      <c r="L276" s="6">
        <v>424</v>
      </c>
      <c r="M276" s="6">
        <v>370</v>
      </c>
      <c r="N276" s="7">
        <f t="shared" si="13"/>
        <v>36.107321509777172</v>
      </c>
      <c r="O276" s="6">
        <v>1305</v>
      </c>
      <c r="P276" s="6">
        <v>737</v>
      </c>
      <c r="Q276" s="6">
        <v>568</v>
      </c>
      <c r="R276" s="7">
        <v>68.539915966386559</v>
      </c>
      <c r="S276" s="7">
        <v>73.921765295887667</v>
      </c>
      <c r="T276" s="7">
        <v>62.624035281146639</v>
      </c>
      <c r="U276" s="15">
        <f t="shared" si="14"/>
        <v>2</v>
      </c>
    </row>
    <row r="277" spans="1:21" ht="18.75" customHeight="1">
      <c r="A277" s="16">
        <v>282</v>
      </c>
      <c r="B277" s="3">
        <v>33</v>
      </c>
      <c r="C277" s="4" t="s">
        <v>303</v>
      </c>
      <c r="D277" s="9" t="s">
        <v>441</v>
      </c>
      <c r="E277" s="5" t="s">
        <v>271</v>
      </c>
      <c r="F277" s="6">
        <v>408</v>
      </c>
      <c r="G277" s="6">
        <v>2134</v>
      </c>
      <c r="H277" s="6">
        <v>1134</v>
      </c>
      <c r="I277" s="6">
        <v>1000</v>
      </c>
      <c r="J277" s="17">
        <f t="shared" si="12"/>
        <v>881.83421516754845</v>
      </c>
      <c r="K277" s="6">
        <v>327</v>
      </c>
      <c r="L277" s="6">
        <v>185</v>
      </c>
      <c r="M277" s="6">
        <v>142</v>
      </c>
      <c r="N277" s="7">
        <f t="shared" si="13"/>
        <v>15.323336457357076</v>
      </c>
      <c r="O277" s="6">
        <v>1281</v>
      </c>
      <c r="P277" s="6">
        <v>766</v>
      </c>
      <c r="Q277" s="6">
        <v>515</v>
      </c>
      <c r="R277" s="7">
        <v>70.423309510720173</v>
      </c>
      <c r="S277" s="7">
        <v>79.708636836628514</v>
      </c>
      <c r="T277" s="7">
        <v>60.023310023310032</v>
      </c>
      <c r="U277" s="15">
        <f t="shared" si="14"/>
        <v>2</v>
      </c>
    </row>
    <row r="278" spans="1:21" ht="18.75" customHeight="1">
      <c r="A278" s="16">
        <v>283</v>
      </c>
      <c r="B278" s="3">
        <v>34</v>
      </c>
      <c r="C278" s="4" t="s">
        <v>304</v>
      </c>
      <c r="D278" s="9" t="s">
        <v>441</v>
      </c>
      <c r="E278" s="5" t="s">
        <v>271</v>
      </c>
      <c r="F278" s="6">
        <v>403</v>
      </c>
      <c r="G278" s="6">
        <v>2115</v>
      </c>
      <c r="H278" s="6">
        <v>1097</v>
      </c>
      <c r="I278" s="6">
        <v>1018</v>
      </c>
      <c r="J278" s="17">
        <f t="shared" si="12"/>
        <v>927.98541476754781</v>
      </c>
      <c r="K278" s="6">
        <v>581</v>
      </c>
      <c r="L278" s="6">
        <v>298</v>
      </c>
      <c r="M278" s="6">
        <v>283</v>
      </c>
      <c r="N278" s="7">
        <f t="shared" si="13"/>
        <v>27.470449172576831</v>
      </c>
      <c r="O278" s="6">
        <v>1303</v>
      </c>
      <c r="P278" s="6">
        <v>745</v>
      </c>
      <c r="Q278" s="6">
        <v>558</v>
      </c>
      <c r="R278" s="7">
        <v>70.318402590393958</v>
      </c>
      <c r="S278" s="7">
        <v>77.928870292887026</v>
      </c>
      <c r="T278" s="7">
        <v>62.207357859531776</v>
      </c>
      <c r="U278" s="15">
        <f t="shared" si="14"/>
        <v>1</v>
      </c>
    </row>
    <row r="279" spans="1:21" ht="18.75" customHeight="1">
      <c r="A279" s="16">
        <v>284</v>
      </c>
      <c r="B279" s="3">
        <v>35</v>
      </c>
      <c r="C279" s="4" t="s">
        <v>305</v>
      </c>
      <c r="D279" s="9" t="s">
        <v>441</v>
      </c>
      <c r="E279" s="5" t="s">
        <v>271</v>
      </c>
      <c r="F279" s="6">
        <v>234</v>
      </c>
      <c r="G279" s="6">
        <v>1141</v>
      </c>
      <c r="H279" s="6">
        <v>578</v>
      </c>
      <c r="I279" s="6">
        <v>563</v>
      </c>
      <c r="J279" s="17">
        <f t="shared" si="12"/>
        <v>974.04844290657445</v>
      </c>
      <c r="K279" s="6">
        <v>298</v>
      </c>
      <c r="L279" s="6">
        <v>162</v>
      </c>
      <c r="M279" s="6">
        <v>136</v>
      </c>
      <c r="N279" s="7">
        <f t="shared" si="13"/>
        <v>26.117440841367223</v>
      </c>
      <c r="O279" s="6">
        <v>699</v>
      </c>
      <c r="P279" s="6">
        <v>362</v>
      </c>
      <c r="Q279" s="6">
        <v>337</v>
      </c>
      <c r="R279" s="7">
        <v>71.036585365853654</v>
      </c>
      <c r="S279" s="7">
        <v>75.103734439834028</v>
      </c>
      <c r="T279" s="7">
        <v>67.13147410358566</v>
      </c>
      <c r="U279" s="15">
        <f t="shared" si="14"/>
        <v>1</v>
      </c>
    </row>
    <row r="280" spans="1:21" ht="18.75" customHeight="1">
      <c r="A280" s="16">
        <v>285</v>
      </c>
      <c r="B280" s="3">
        <v>36</v>
      </c>
      <c r="C280" s="4" t="s">
        <v>306</v>
      </c>
      <c r="D280" s="9" t="s">
        <v>441</v>
      </c>
      <c r="E280" s="5" t="s">
        <v>271</v>
      </c>
      <c r="F280" s="6">
        <v>65</v>
      </c>
      <c r="G280" s="6">
        <v>393</v>
      </c>
      <c r="H280" s="6">
        <v>198</v>
      </c>
      <c r="I280" s="6">
        <v>195</v>
      </c>
      <c r="J280" s="17">
        <f t="shared" si="12"/>
        <v>984.84848484848487</v>
      </c>
      <c r="K280" s="6">
        <v>19</v>
      </c>
      <c r="L280" s="6">
        <v>10</v>
      </c>
      <c r="M280" s="6">
        <v>9</v>
      </c>
      <c r="N280" s="7">
        <f t="shared" si="13"/>
        <v>4.8346055979643765</v>
      </c>
      <c r="O280" s="6">
        <v>241</v>
      </c>
      <c r="P280" s="6">
        <v>137</v>
      </c>
      <c r="Q280" s="6">
        <v>104</v>
      </c>
      <c r="R280" s="7">
        <v>70.882352941176478</v>
      </c>
      <c r="S280" s="7">
        <v>80.588235294117652</v>
      </c>
      <c r="T280" s="7">
        <v>61.176470588235297</v>
      </c>
      <c r="U280" s="15">
        <f t="shared" si="14"/>
        <v>1</v>
      </c>
    </row>
    <row r="281" spans="1:21" ht="18.75" customHeight="1">
      <c r="A281" s="16">
        <v>286</v>
      </c>
      <c r="B281" s="3">
        <v>37</v>
      </c>
      <c r="C281" s="4" t="s">
        <v>307</v>
      </c>
      <c r="D281" s="9" t="s">
        <v>441</v>
      </c>
      <c r="E281" s="5" t="s">
        <v>271</v>
      </c>
      <c r="F281" s="6">
        <v>928</v>
      </c>
      <c r="G281" s="6">
        <v>4705</v>
      </c>
      <c r="H281" s="6">
        <v>2484</v>
      </c>
      <c r="I281" s="6">
        <v>2221</v>
      </c>
      <c r="J281" s="17">
        <f t="shared" si="12"/>
        <v>894.12238325281805</v>
      </c>
      <c r="K281" s="6">
        <v>1092</v>
      </c>
      <c r="L281" s="6">
        <v>591</v>
      </c>
      <c r="M281" s="6">
        <v>501</v>
      </c>
      <c r="N281" s="7">
        <f t="shared" si="13"/>
        <v>23.20935175345377</v>
      </c>
      <c r="O281" s="6">
        <v>2789</v>
      </c>
      <c r="P281" s="6">
        <v>1625</v>
      </c>
      <c r="Q281" s="6">
        <v>1164</v>
      </c>
      <c r="R281" s="7">
        <v>67.579355464017439</v>
      </c>
      <c r="S281" s="7">
        <v>75.057736720554274</v>
      </c>
      <c r="T281" s="7">
        <v>59.327217125382262</v>
      </c>
      <c r="U281" s="15">
        <f t="shared" si="14"/>
        <v>2</v>
      </c>
    </row>
    <row r="282" spans="1:21" s="14" customFormat="1" ht="18.75" customHeight="1">
      <c r="A282" s="16">
        <v>287</v>
      </c>
      <c r="B282" s="3">
        <v>38</v>
      </c>
      <c r="C282" s="10" t="s">
        <v>308</v>
      </c>
      <c r="D282" s="9" t="s">
        <v>441</v>
      </c>
      <c r="E282" s="11" t="s">
        <v>271</v>
      </c>
      <c r="F282" s="12">
        <v>107</v>
      </c>
      <c r="G282" s="12">
        <v>503</v>
      </c>
      <c r="H282" s="12">
        <v>260</v>
      </c>
      <c r="I282" s="12">
        <v>243</v>
      </c>
      <c r="J282" s="18">
        <f t="shared" si="12"/>
        <v>934.61538461538464</v>
      </c>
      <c r="K282" s="12">
        <v>61</v>
      </c>
      <c r="L282" s="12">
        <v>40</v>
      </c>
      <c r="M282" s="12">
        <v>21</v>
      </c>
      <c r="N282" s="7">
        <f t="shared" si="13"/>
        <v>12.127236580516898</v>
      </c>
      <c r="O282" s="12">
        <v>284</v>
      </c>
      <c r="P282" s="12">
        <v>171</v>
      </c>
      <c r="Q282" s="12">
        <v>113</v>
      </c>
      <c r="R282" s="13">
        <v>64.840182648401822</v>
      </c>
      <c r="S282" s="13">
        <v>74.34782608695653</v>
      </c>
      <c r="T282" s="13">
        <v>54.326923076923073</v>
      </c>
      <c r="U282" s="15">
        <f t="shared" si="14"/>
        <v>1</v>
      </c>
    </row>
    <row r="283" spans="1:21" ht="18.75" customHeight="1">
      <c r="A283" s="16">
        <v>288</v>
      </c>
      <c r="B283" s="3">
        <v>39</v>
      </c>
      <c r="C283" s="4" t="s">
        <v>309</v>
      </c>
      <c r="D283" s="9" t="s">
        <v>441</v>
      </c>
      <c r="E283" s="5" t="s">
        <v>271</v>
      </c>
      <c r="F283" s="6">
        <v>181</v>
      </c>
      <c r="G283" s="6">
        <v>1014</v>
      </c>
      <c r="H283" s="6">
        <v>536</v>
      </c>
      <c r="I283" s="6">
        <v>478</v>
      </c>
      <c r="J283" s="17">
        <f t="shared" si="12"/>
        <v>891.79104477611941</v>
      </c>
      <c r="K283" s="6">
        <v>283</v>
      </c>
      <c r="L283" s="6">
        <v>149</v>
      </c>
      <c r="M283" s="6">
        <v>134</v>
      </c>
      <c r="N283" s="7">
        <f t="shared" si="13"/>
        <v>27.909270216962522</v>
      </c>
      <c r="O283" s="6">
        <v>615</v>
      </c>
      <c r="P283" s="6">
        <v>377</v>
      </c>
      <c r="Q283" s="6">
        <v>238</v>
      </c>
      <c r="R283" s="7">
        <v>69.334836527621192</v>
      </c>
      <c r="S283" s="7">
        <v>80.555555555555557</v>
      </c>
      <c r="T283" s="7">
        <v>56.801909307875896</v>
      </c>
      <c r="U283" s="15">
        <f t="shared" si="14"/>
        <v>2</v>
      </c>
    </row>
    <row r="284" spans="1:21" ht="18.75" customHeight="1">
      <c r="A284" s="16">
        <v>290</v>
      </c>
      <c r="B284" s="3">
        <v>41</v>
      </c>
      <c r="C284" s="4" t="s">
        <v>311</v>
      </c>
      <c r="D284" s="9" t="s">
        <v>441</v>
      </c>
      <c r="E284" s="5" t="s">
        <v>271</v>
      </c>
      <c r="F284" s="6">
        <v>452</v>
      </c>
      <c r="G284" s="6">
        <v>2412</v>
      </c>
      <c r="H284" s="6">
        <v>1280</v>
      </c>
      <c r="I284" s="6">
        <v>1132</v>
      </c>
      <c r="J284" s="17">
        <f t="shared" si="12"/>
        <v>884.375</v>
      </c>
      <c r="K284" s="6">
        <v>586</v>
      </c>
      <c r="L284" s="6">
        <v>323</v>
      </c>
      <c r="M284" s="6">
        <v>263</v>
      </c>
      <c r="N284" s="7">
        <f t="shared" si="13"/>
        <v>24.29519071310116</v>
      </c>
      <c r="O284" s="6">
        <v>1340</v>
      </c>
      <c r="P284" s="6">
        <v>820</v>
      </c>
      <c r="Q284" s="6">
        <v>520</v>
      </c>
      <c r="R284" s="7">
        <v>64.05353728489483</v>
      </c>
      <c r="S284" s="7">
        <v>73.741007194244602</v>
      </c>
      <c r="T284" s="7">
        <v>53.061224489795919</v>
      </c>
      <c r="U284" s="15">
        <f t="shared" si="14"/>
        <v>2</v>
      </c>
    </row>
    <row r="285" spans="1:21" ht="18.75" customHeight="1">
      <c r="A285" s="16">
        <v>292</v>
      </c>
      <c r="B285" s="3">
        <v>43</v>
      </c>
      <c r="C285" s="4" t="s">
        <v>313</v>
      </c>
      <c r="D285" s="9" t="s">
        <v>441</v>
      </c>
      <c r="E285" s="5" t="s">
        <v>271</v>
      </c>
      <c r="F285" s="6">
        <v>324</v>
      </c>
      <c r="G285" s="6">
        <v>1743</v>
      </c>
      <c r="H285" s="6">
        <v>922</v>
      </c>
      <c r="I285" s="6">
        <v>821</v>
      </c>
      <c r="J285" s="17">
        <f t="shared" si="12"/>
        <v>890.45553145336225</v>
      </c>
      <c r="K285" s="6">
        <v>206</v>
      </c>
      <c r="L285" s="6">
        <v>104</v>
      </c>
      <c r="M285" s="6">
        <v>102</v>
      </c>
      <c r="N285" s="7">
        <f t="shared" si="13"/>
        <v>11.818703384968446</v>
      </c>
      <c r="O285" s="6">
        <v>951</v>
      </c>
      <c r="P285" s="6">
        <v>555</v>
      </c>
      <c r="Q285" s="6">
        <v>396</v>
      </c>
      <c r="R285" s="7">
        <v>62.980132450331126</v>
      </c>
      <c r="S285" s="7">
        <v>70.520965692503182</v>
      </c>
      <c r="T285" s="7">
        <v>54.77178423236515</v>
      </c>
      <c r="U285" s="15">
        <f t="shared" si="14"/>
        <v>2</v>
      </c>
    </row>
    <row r="286" spans="1:21" ht="18.75" customHeight="1">
      <c r="A286" s="16">
        <v>293</v>
      </c>
      <c r="B286" s="3">
        <v>44</v>
      </c>
      <c r="C286" s="4" t="s">
        <v>314</v>
      </c>
      <c r="D286" s="9" t="s">
        <v>441</v>
      </c>
      <c r="E286" s="5" t="s">
        <v>271</v>
      </c>
      <c r="F286" s="6">
        <v>328</v>
      </c>
      <c r="G286" s="6">
        <v>1916</v>
      </c>
      <c r="H286" s="6">
        <v>981</v>
      </c>
      <c r="I286" s="6">
        <v>935</v>
      </c>
      <c r="J286" s="17">
        <f t="shared" si="12"/>
        <v>953.10907237512743</v>
      </c>
      <c r="K286" s="6">
        <v>686</v>
      </c>
      <c r="L286" s="6">
        <v>351</v>
      </c>
      <c r="M286" s="6">
        <v>335</v>
      </c>
      <c r="N286" s="7">
        <f t="shared" si="13"/>
        <v>35.803757828810021</v>
      </c>
      <c r="O286" s="6">
        <v>1087</v>
      </c>
      <c r="P286" s="6">
        <v>645</v>
      </c>
      <c r="Q286" s="6">
        <v>442</v>
      </c>
      <c r="R286" s="7">
        <v>68.022528160200253</v>
      </c>
      <c r="S286" s="7">
        <v>77.804583835946929</v>
      </c>
      <c r="T286" s="7">
        <v>57.477243172951887</v>
      </c>
      <c r="U286" s="15">
        <f t="shared" si="14"/>
        <v>1</v>
      </c>
    </row>
    <row r="287" spans="1:21" ht="18.75" customHeight="1">
      <c r="A287" s="16">
        <v>294</v>
      </c>
      <c r="B287" s="3">
        <v>45</v>
      </c>
      <c r="C287" s="4" t="s">
        <v>315</v>
      </c>
      <c r="D287" s="9" t="s">
        <v>441</v>
      </c>
      <c r="E287" s="5" t="s">
        <v>271</v>
      </c>
      <c r="F287" s="6">
        <v>359</v>
      </c>
      <c r="G287" s="6">
        <v>1876</v>
      </c>
      <c r="H287" s="6">
        <v>1009</v>
      </c>
      <c r="I287" s="6">
        <v>867</v>
      </c>
      <c r="J287" s="17">
        <f t="shared" si="12"/>
        <v>859.26660059464825</v>
      </c>
      <c r="K287" s="6">
        <v>426</v>
      </c>
      <c r="L287" s="6">
        <v>225</v>
      </c>
      <c r="M287" s="6">
        <v>201</v>
      </c>
      <c r="N287" s="7">
        <f t="shared" si="13"/>
        <v>22.707889125799575</v>
      </c>
      <c r="O287" s="6">
        <v>1176</v>
      </c>
      <c r="P287" s="6">
        <v>710</v>
      </c>
      <c r="Q287" s="6">
        <v>466</v>
      </c>
      <c r="R287" s="7">
        <v>70.758122743682307</v>
      </c>
      <c r="S287" s="7">
        <v>79.507278835386344</v>
      </c>
      <c r="T287" s="7">
        <v>60.598179453836153</v>
      </c>
      <c r="U287" s="15">
        <f t="shared" si="14"/>
        <v>2</v>
      </c>
    </row>
    <row r="288" spans="1:21" ht="18.75" customHeight="1">
      <c r="A288" s="16">
        <v>295</v>
      </c>
      <c r="B288" s="3">
        <v>46</v>
      </c>
      <c r="C288" s="4" t="s">
        <v>316</v>
      </c>
      <c r="D288" s="9" t="s">
        <v>441</v>
      </c>
      <c r="E288" s="5" t="s">
        <v>271</v>
      </c>
      <c r="F288" s="6">
        <v>651</v>
      </c>
      <c r="G288" s="6">
        <v>3166</v>
      </c>
      <c r="H288" s="6">
        <v>1636</v>
      </c>
      <c r="I288" s="6">
        <v>1530</v>
      </c>
      <c r="J288" s="17">
        <f t="shared" si="12"/>
        <v>935.20782396088021</v>
      </c>
      <c r="K288" s="6">
        <v>1186</v>
      </c>
      <c r="L288" s="6">
        <v>606</v>
      </c>
      <c r="M288" s="6">
        <v>580</v>
      </c>
      <c r="N288" s="7">
        <f t="shared" si="13"/>
        <v>37.46051800379027</v>
      </c>
      <c r="O288" s="6">
        <v>2009</v>
      </c>
      <c r="P288" s="6">
        <v>1120</v>
      </c>
      <c r="Q288" s="6">
        <v>889</v>
      </c>
      <c r="R288" s="7">
        <v>72.266187050359704</v>
      </c>
      <c r="S288" s="7">
        <v>78.541374474053299</v>
      </c>
      <c r="T288" s="7">
        <v>65.657311669128504</v>
      </c>
      <c r="U288" s="15">
        <f t="shared" si="14"/>
        <v>1</v>
      </c>
    </row>
    <row r="289" spans="1:21" ht="18.75" customHeight="1">
      <c r="A289" s="16">
        <v>296</v>
      </c>
      <c r="B289" s="3">
        <v>47</v>
      </c>
      <c r="C289" s="4" t="s">
        <v>317</v>
      </c>
      <c r="D289" s="9" t="s">
        <v>441</v>
      </c>
      <c r="E289" s="5" t="s">
        <v>271</v>
      </c>
      <c r="F289" s="6">
        <v>199</v>
      </c>
      <c r="G289" s="6">
        <v>1159</v>
      </c>
      <c r="H289" s="6">
        <v>603</v>
      </c>
      <c r="I289" s="6">
        <v>556</v>
      </c>
      <c r="J289" s="17">
        <f t="shared" si="12"/>
        <v>922.05638474295188</v>
      </c>
      <c r="K289" s="6">
        <v>117</v>
      </c>
      <c r="L289" s="6">
        <v>57</v>
      </c>
      <c r="M289" s="6">
        <v>60</v>
      </c>
      <c r="N289" s="7">
        <f t="shared" si="13"/>
        <v>10.094909404659189</v>
      </c>
      <c r="O289" s="6">
        <v>744</v>
      </c>
      <c r="P289" s="6">
        <v>417</v>
      </c>
      <c r="Q289" s="6">
        <v>327</v>
      </c>
      <c r="R289" s="7">
        <v>73.445212240868713</v>
      </c>
      <c r="S289" s="7">
        <v>80.813953488372093</v>
      </c>
      <c r="T289" s="7">
        <v>65.794768611670023</v>
      </c>
      <c r="U289" s="15">
        <f t="shared" si="14"/>
        <v>1</v>
      </c>
    </row>
    <row r="290" spans="1:21" ht="18.75" customHeight="1">
      <c r="A290" s="16">
        <v>297</v>
      </c>
      <c r="B290" s="3">
        <v>48</v>
      </c>
      <c r="C290" s="4" t="s">
        <v>318</v>
      </c>
      <c r="D290" s="9" t="s">
        <v>441</v>
      </c>
      <c r="E290" s="5" t="s">
        <v>271</v>
      </c>
      <c r="F290" s="6">
        <v>1185</v>
      </c>
      <c r="G290" s="6">
        <v>6394</v>
      </c>
      <c r="H290" s="6">
        <v>3350</v>
      </c>
      <c r="I290" s="6">
        <v>3044</v>
      </c>
      <c r="J290" s="17">
        <f t="shared" si="12"/>
        <v>908.6567164179105</v>
      </c>
      <c r="K290" s="6">
        <v>1037</v>
      </c>
      <c r="L290" s="6">
        <v>522</v>
      </c>
      <c r="M290" s="6">
        <v>515</v>
      </c>
      <c r="N290" s="7">
        <f t="shared" si="13"/>
        <v>16.218329684078824</v>
      </c>
      <c r="O290" s="6">
        <v>3798</v>
      </c>
      <c r="P290" s="6">
        <v>2298</v>
      </c>
      <c r="Q290" s="6">
        <v>1500</v>
      </c>
      <c r="R290" s="7">
        <v>68.854242204496003</v>
      </c>
      <c r="S290" s="7">
        <v>79.958246346555327</v>
      </c>
      <c r="T290" s="7">
        <v>56.775170325510985</v>
      </c>
      <c r="U290" s="15">
        <f t="shared" si="14"/>
        <v>1</v>
      </c>
    </row>
    <row r="291" spans="1:21" ht="18.75" customHeight="1">
      <c r="A291" s="16">
        <v>298</v>
      </c>
      <c r="B291" s="3">
        <v>49</v>
      </c>
      <c r="C291" s="4" t="s">
        <v>319</v>
      </c>
      <c r="D291" s="9" t="s">
        <v>441</v>
      </c>
      <c r="E291" s="5" t="s">
        <v>271</v>
      </c>
      <c r="F291" s="6">
        <v>777</v>
      </c>
      <c r="G291" s="6">
        <v>3731</v>
      </c>
      <c r="H291" s="6">
        <v>1942</v>
      </c>
      <c r="I291" s="6">
        <v>1789</v>
      </c>
      <c r="J291" s="17">
        <f t="shared" si="12"/>
        <v>921.21524201853754</v>
      </c>
      <c r="K291" s="6">
        <v>600</v>
      </c>
      <c r="L291" s="6">
        <v>310</v>
      </c>
      <c r="M291" s="6">
        <v>290</v>
      </c>
      <c r="N291" s="7">
        <f t="shared" si="13"/>
        <v>16.081479496113644</v>
      </c>
      <c r="O291" s="6">
        <v>2300</v>
      </c>
      <c r="P291" s="6">
        <v>1346</v>
      </c>
      <c r="Q291" s="6">
        <v>954</v>
      </c>
      <c r="R291" s="7">
        <v>71.89746795873711</v>
      </c>
      <c r="S291" s="7">
        <v>80.358208955223873</v>
      </c>
      <c r="T291" s="7">
        <v>62.598425196850393</v>
      </c>
      <c r="U291" s="15">
        <f t="shared" si="14"/>
        <v>1</v>
      </c>
    </row>
    <row r="292" spans="1:21" ht="18.75" customHeight="1">
      <c r="A292" s="16">
        <v>299</v>
      </c>
      <c r="B292" s="3">
        <v>50</v>
      </c>
      <c r="C292" s="4" t="s">
        <v>320</v>
      </c>
      <c r="D292" s="9" t="s">
        <v>441</v>
      </c>
      <c r="E292" s="5" t="s">
        <v>271</v>
      </c>
      <c r="F292" s="6">
        <v>237</v>
      </c>
      <c r="G292" s="6">
        <v>1025</v>
      </c>
      <c r="H292" s="6">
        <v>488</v>
      </c>
      <c r="I292" s="6">
        <v>537</v>
      </c>
      <c r="J292" s="17">
        <f t="shared" si="12"/>
        <v>1100.4098360655739</v>
      </c>
      <c r="K292" s="6">
        <v>224</v>
      </c>
      <c r="L292" s="6">
        <v>117</v>
      </c>
      <c r="M292" s="6">
        <v>107</v>
      </c>
      <c r="N292" s="7">
        <f t="shared" si="13"/>
        <v>21.853658536585368</v>
      </c>
      <c r="O292" s="6">
        <v>647</v>
      </c>
      <c r="P292" s="6">
        <v>335</v>
      </c>
      <c r="Q292" s="6">
        <v>312</v>
      </c>
      <c r="R292" s="7">
        <v>70.787746170678332</v>
      </c>
      <c r="S292" s="7">
        <v>77.726218097447799</v>
      </c>
      <c r="T292" s="7">
        <v>64.596273291925471</v>
      </c>
      <c r="U292" s="15">
        <f t="shared" si="14"/>
        <v>1</v>
      </c>
    </row>
    <row r="293" spans="1:21" ht="18.75" customHeight="1">
      <c r="A293" s="16">
        <v>300</v>
      </c>
      <c r="B293" s="3">
        <v>51</v>
      </c>
      <c r="C293" s="4" t="s">
        <v>321</v>
      </c>
      <c r="D293" s="9" t="s">
        <v>441</v>
      </c>
      <c r="E293" s="5" t="s">
        <v>271</v>
      </c>
      <c r="F293" s="6">
        <v>395</v>
      </c>
      <c r="G293" s="6">
        <v>2137</v>
      </c>
      <c r="H293" s="6">
        <v>1125</v>
      </c>
      <c r="I293" s="6">
        <v>1012</v>
      </c>
      <c r="J293" s="17">
        <f t="shared" si="12"/>
        <v>899.55555555555554</v>
      </c>
      <c r="K293" s="6">
        <v>752</v>
      </c>
      <c r="L293" s="6">
        <v>393</v>
      </c>
      <c r="M293" s="6">
        <v>359</v>
      </c>
      <c r="N293" s="7">
        <f t="shared" si="13"/>
        <v>35.189518015910153</v>
      </c>
      <c r="O293" s="6">
        <v>1199</v>
      </c>
      <c r="P293" s="6">
        <v>713</v>
      </c>
      <c r="Q293" s="6">
        <v>486</v>
      </c>
      <c r="R293" s="7">
        <v>65.447598253275103</v>
      </c>
      <c r="S293" s="7">
        <v>74.816369359916052</v>
      </c>
      <c r="T293" s="7">
        <v>55.290102389078498</v>
      </c>
      <c r="U293" s="15">
        <f t="shared" si="14"/>
        <v>2</v>
      </c>
    </row>
    <row r="294" spans="1:21" ht="18.75" customHeight="1">
      <c r="A294" s="16">
        <v>301</v>
      </c>
      <c r="B294" s="3">
        <v>52</v>
      </c>
      <c r="C294" s="4" t="s">
        <v>322</v>
      </c>
      <c r="D294" s="9" t="s">
        <v>441</v>
      </c>
      <c r="E294" s="5" t="s">
        <v>271</v>
      </c>
      <c r="F294" s="6">
        <v>168</v>
      </c>
      <c r="G294" s="6">
        <v>877</v>
      </c>
      <c r="H294" s="6">
        <v>438</v>
      </c>
      <c r="I294" s="6">
        <v>439</v>
      </c>
      <c r="J294" s="17">
        <f t="shared" si="12"/>
        <v>1002.2831050228311</v>
      </c>
      <c r="K294" s="6">
        <v>210</v>
      </c>
      <c r="L294" s="6">
        <v>101</v>
      </c>
      <c r="M294" s="6">
        <v>109</v>
      </c>
      <c r="N294" s="7">
        <f t="shared" si="13"/>
        <v>23.945267958950968</v>
      </c>
      <c r="O294" s="6">
        <v>474</v>
      </c>
      <c r="P294" s="6">
        <v>269</v>
      </c>
      <c r="Q294" s="6">
        <v>205</v>
      </c>
      <c r="R294" s="7">
        <v>63.70967741935484</v>
      </c>
      <c r="S294" s="7">
        <v>72.311827956989248</v>
      </c>
      <c r="T294" s="7">
        <v>55.107526881720425</v>
      </c>
      <c r="U294" s="15">
        <f t="shared" si="14"/>
        <v>1</v>
      </c>
    </row>
    <row r="295" spans="1:21" ht="18.75" customHeight="1">
      <c r="A295" s="16">
        <v>302</v>
      </c>
      <c r="B295" s="3">
        <v>53</v>
      </c>
      <c r="C295" s="4" t="s">
        <v>323</v>
      </c>
      <c r="D295" s="9" t="s">
        <v>441</v>
      </c>
      <c r="E295" s="5" t="s">
        <v>271</v>
      </c>
      <c r="F295" s="6">
        <v>1161</v>
      </c>
      <c r="G295" s="6">
        <v>5682</v>
      </c>
      <c r="H295" s="6">
        <v>2887</v>
      </c>
      <c r="I295" s="6">
        <v>2795</v>
      </c>
      <c r="J295" s="17">
        <f t="shared" si="12"/>
        <v>968.13301004502955</v>
      </c>
      <c r="K295" s="6">
        <v>2427</v>
      </c>
      <c r="L295" s="6">
        <v>1240</v>
      </c>
      <c r="M295" s="6">
        <v>1187</v>
      </c>
      <c r="N295" s="7">
        <f t="shared" si="13"/>
        <v>42.713833157338968</v>
      </c>
      <c r="O295" s="6">
        <v>3096</v>
      </c>
      <c r="P295" s="6">
        <v>1748</v>
      </c>
      <c r="Q295" s="6">
        <v>1348</v>
      </c>
      <c r="R295" s="7">
        <v>63.403645300020486</v>
      </c>
      <c r="S295" s="7">
        <v>71.114727420667208</v>
      </c>
      <c r="T295" s="7">
        <v>55.587628865979376</v>
      </c>
      <c r="U295" s="15">
        <f t="shared" si="14"/>
        <v>1</v>
      </c>
    </row>
    <row r="296" spans="1:21" ht="18.75" customHeight="1">
      <c r="A296" s="16">
        <v>303</v>
      </c>
      <c r="B296" s="3">
        <v>54</v>
      </c>
      <c r="C296" s="4" t="s">
        <v>324</v>
      </c>
      <c r="D296" s="9" t="s">
        <v>441</v>
      </c>
      <c r="E296" s="5" t="s">
        <v>271</v>
      </c>
      <c r="F296" s="6">
        <v>46</v>
      </c>
      <c r="G296" s="6">
        <v>234</v>
      </c>
      <c r="H296" s="6">
        <v>126</v>
      </c>
      <c r="I296" s="6">
        <v>108</v>
      </c>
      <c r="J296" s="17">
        <f t="shared" si="12"/>
        <v>857.14285714285711</v>
      </c>
      <c r="K296" s="6">
        <v>47</v>
      </c>
      <c r="L296" s="6">
        <v>22</v>
      </c>
      <c r="M296" s="6">
        <v>25</v>
      </c>
      <c r="N296" s="7">
        <f t="shared" si="13"/>
        <v>20.085470085470085</v>
      </c>
      <c r="O296" s="6">
        <v>163</v>
      </c>
      <c r="P296" s="6">
        <v>87</v>
      </c>
      <c r="Q296" s="6">
        <v>76</v>
      </c>
      <c r="R296" s="7">
        <v>75.813953488372093</v>
      </c>
      <c r="S296" s="7">
        <v>76.31578947368422</v>
      </c>
      <c r="T296" s="7">
        <v>75.247524752475243</v>
      </c>
      <c r="U296" s="15">
        <f t="shared" si="14"/>
        <v>2</v>
      </c>
    </row>
    <row r="297" spans="1:21" ht="18.75" customHeight="1">
      <c r="A297" s="16">
        <v>304</v>
      </c>
      <c r="B297" s="3">
        <v>55</v>
      </c>
      <c r="C297" s="4" t="s">
        <v>325</v>
      </c>
      <c r="D297" s="9" t="s">
        <v>441</v>
      </c>
      <c r="E297" s="5" t="s">
        <v>271</v>
      </c>
      <c r="F297" s="6">
        <v>184</v>
      </c>
      <c r="G297" s="6">
        <v>1114</v>
      </c>
      <c r="H297" s="6">
        <v>591</v>
      </c>
      <c r="I297" s="6">
        <v>523</v>
      </c>
      <c r="J297" s="17">
        <f t="shared" si="12"/>
        <v>884.94077834179348</v>
      </c>
      <c r="K297" s="6">
        <v>197</v>
      </c>
      <c r="L297" s="6">
        <v>102</v>
      </c>
      <c r="M297" s="6">
        <v>95</v>
      </c>
      <c r="N297" s="7">
        <f t="shared" si="13"/>
        <v>17.684021543985637</v>
      </c>
      <c r="O297" s="6">
        <v>686</v>
      </c>
      <c r="P297" s="6">
        <v>395</v>
      </c>
      <c r="Q297" s="6">
        <v>291</v>
      </c>
      <c r="R297" s="7">
        <v>69.64467005076142</v>
      </c>
      <c r="S297" s="7">
        <v>75.961538461538453</v>
      </c>
      <c r="T297" s="7">
        <v>62.580645161290327</v>
      </c>
      <c r="U297" s="15">
        <f t="shared" si="14"/>
        <v>2</v>
      </c>
    </row>
    <row r="298" spans="1:21" ht="18.75" customHeight="1">
      <c r="A298" s="16">
        <v>305</v>
      </c>
      <c r="B298" s="3">
        <v>56</v>
      </c>
      <c r="C298" s="4" t="s">
        <v>326</v>
      </c>
      <c r="D298" s="9" t="s">
        <v>441</v>
      </c>
      <c r="E298" s="5" t="s">
        <v>271</v>
      </c>
      <c r="F298" s="6">
        <v>28</v>
      </c>
      <c r="G298" s="6">
        <v>138</v>
      </c>
      <c r="H298" s="6">
        <v>66</v>
      </c>
      <c r="I298" s="6">
        <v>72</v>
      </c>
      <c r="J298" s="17">
        <f t="shared" si="12"/>
        <v>1090.9090909090908</v>
      </c>
      <c r="K298" s="6">
        <v>0</v>
      </c>
      <c r="L298" s="6">
        <v>0</v>
      </c>
      <c r="M298" s="6">
        <v>0</v>
      </c>
      <c r="N298" s="7">
        <f t="shared" si="13"/>
        <v>0</v>
      </c>
      <c r="O298" s="6">
        <v>89</v>
      </c>
      <c r="P298" s="6">
        <v>46</v>
      </c>
      <c r="Q298" s="6">
        <v>43</v>
      </c>
      <c r="R298" s="7">
        <v>74.166666666666671</v>
      </c>
      <c r="S298" s="7">
        <v>85.18518518518519</v>
      </c>
      <c r="T298" s="7">
        <v>65.151515151515156</v>
      </c>
      <c r="U298" s="15">
        <f t="shared" si="14"/>
        <v>1</v>
      </c>
    </row>
    <row r="299" spans="1:21" ht="18.75" customHeight="1">
      <c r="A299" s="16">
        <v>306</v>
      </c>
      <c r="B299" s="3">
        <v>57</v>
      </c>
      <c r="C299" s="4" t="s">
        <v>327</v>
      </c>
      <c r="D299" s="9" t="s">
        <v>441</v>
      </c>
      <c r="E299" s="5" t="s">
        <v>271</v>
      </c>
      <c r="F299" s="6">
        <v>325</v>
      </c>
      <c r="G299" s="6">
        <v>1616</v>
      </c>
      <c r="H299" s="6">
        <v>853</v>
      </c>
      <c r="I299" s="6">
        <v>763</v>
      </c>
      <c r="J299" s="17">
        <f t="shared" si="12"/>
        <v>894.49003516998823</v>
      </c>
      <c r="K299" s="6">
        <v>259</v>
      </c>
      <c r="L299" s="6">
        <v>138</v>
      </c>
      <c r="M299" s="6">
        <v>121</v>
      </c>
      <c r="N299" s="7">
        <f t="shared" si="13"/>
        <v>16.027227722772277</v>
      </c>
      <c r="O299" s="6">
        <v>1028</v>
      </c>
      <c r="P299" s="6">
        <v>573</v>
      </c>
      <c r="Q299" s="6">
        <v>455</v>
      </c>
      <c r="R299" s="7">
        <v>70.750172057811426</v>
      </c>
      <c r="S299" s="7">
        <v>75.593667546174132</v>
      </c>
      <c r="T299" s="7">
        <v>65.467625899280577</v>
      </c>
      <c r="U299" s="15">
        <f t="shared" si="14"/>
        <v>2</v>
      </c>
    </row>
    <row r="300" spans="1:21" ht="18.75" customHeight="1">
      <c r="A300" s="16">
        <v>307</v>
      </c>
      <c r="B300" s="3">
        <v>58</v>
      </c>
      <c r="C300" s="4" t="s">
        <v>328</v>
      </c>
      <c r="D300" s="9" t="s">
        <v>441</v>
      </c>
      <c r="E300" s="5" t="s">
        <v>271</v>
      </c>
      <c r="F300" s="6">
        <v>80</v>
      </c>
      <c r="G300" s="6">
        <v>472</v>
      </c>
      <c r="H300" s="6">
        <v>228</v>
      </c>
      <c r="I300" s="6">
        <v>244</v>
      </c>
      <c r="J300" s="17">
        <f t="shared" si="12"/>
        <v>1070.1754385964912</v>
      </c>
      <c r="K300" s="6">
        <v>66</v>
      </c>
      <c r="L300" s="6">
        <v>34</v>
      </c>
      <c r="M300" s="6">
        <v>32</v>
      </c>
      <c r="N300" s="7">
        <f t="shared" si="13"/>
        <v>13.983050847457626</v>
      </c>
      <c r="O300" s="6">
        <v>292</v>
      </c>
      <c r="P300" s="6">
        <v>165</v>
      </c>
      <c r="Q300" s="6">
        <v>127</v>
      </c>
      <c r="R300" s="7">
        <v>72.098765432098759</v>
      </c>
      <c r="S300" s="7">
        <v>83.756345177664969</v>
      </c>
      <c r="T300" s="7">
        <v>61.057692307692314</v>
      </c>
      <c r="U300" s="15">
        <f t="shared" si="14"/>
        <v>1</v>
      </c>
    </row>
    <row r="301" spans="1:21" ht="18.75" customHeight="1">
      <c r="A301" s="16">
        <v>308</v>
      </c>
      <c r="B301" s="3">
        <v>59</v>
      </c>
      <c r="C301" s="4" t="s">
        <v>329</v>
      </c>
      <c r="D301" s="9" t="s">
        <v>441</v>
      </c>
      <c r="E301" s="5" t="s">
        <v>271</v>
      </c>
      <c r="F301" s="6">
        <v>1256</v>
      </c>
      <c r="G301" s="6">
        <v>6625</v>
      </c>
      <c r="H301" s="6">
        <v>3499</v>
      </c>
      <c r="I301" s="6">
        <v>3126</v>
      </c>
      <c r="J301" s="17">
        <f t="shared" si="12"/>
        <v>893.39811374678482</v>
      </c>
      <c r="K301" s="6">
        <v>1911</v>
      </c>
      <c r="L301" s="6">
        <v>1016</v>
      </c>
      <c r="M301" s="6">
        <v>895</v>
      </c>
      <c r="N301" s="7">
        <f t="shared" si="13"/>
        <v>28.845283018867924</v>
      </c>
      <c r="O301" s="6">
        <v>3495</v>
      </c>
      <c r="P301" s="6">
        <v>2055</v>
      </c>
      <c r="Q301" s="6">
        <v>1440</v>
      </c>
      <c r="R301" s="7">
        <v>61.016061452513966</v>
      </c>
      <c r="S301" s="7">
        <v>68.249750913317826</v>
      </c>
      <c r="T301" s="7">
        <v>52.999631947000367</v>
      </c>
      <c r="U301" s="15">
        <f t="shared" si="14"/>
        <v>2</v>
      </c>
    </row>
    <row r="302" spans="1:21" ht="18.75" customHeight="1">
      <c r="A302" s="16">
        <v>310</v>
      </c>
      <c r="B302" s="3">
        <v>61</v>
      </c>
      <c r="C302" s="4" t="s">
        <v>331</v>
      </c>
      <c r="D302" s="9" t="s">
        <v>441</v>
      </c>
      <c r="E302" s="5" t="s">
        <v>271</v>
      </c>
      <c r="F302" s="6">
        <v>147</v>
      </c>
      <c r="G302" s="6">
        <v>685</v>
      </c>
      <c r="H302" s="6">
        <v>352</v>
      </c>
      <c r="I302" s="6">
        <v>333</v>
      </c>
      <c r="J302" s="17">
        <f t="shared" si="12"/>
        <v>946.02272727272725</v>
      </c>
      <c r="K302" s="6">
        <v>141</v>
      </c>
      <c r="L302" s="6">
        <v>76</v>
      </c>
      <c r="M302" s="6">
        <v>65</v>
      </c>
      <c r="N302" s="7">
        <f t="shared" si="13"/>
        <v>20.583941605839414</v>
      </c>
      <c r="O302" s="6">
        <v>413</v>
      </c>
      <c r="P302" s="6">
        <v>216</v>
      </c>
      <c r="Q302" s="6">
        <v>197</v>
      </c>
      <c r="R302" s="7">
        <v>70.357751277683136</v>
      </c>
      <c r="S302" s="7">
        <v>72.972972972972968</v>
      </c>
      <c r="T302" s="7">
        <v>67.697594501718214</v>
      </c>
      <c r="U302" s="15">
        <f t="shared" si="14"/>
        <v>1</v>
      </c>
    </row>
    <row r="303" spans="1:21" ht="18.75" customHeight="1">
      <c r="A303" s="16">
        <v>311</v>
      </c>
      <c r="B303" s="3">
        <v>62</v>
      </c>
      <c r="C303" s="4" t="s">
        <v>332</v>
      </c>
      <c r="D303" s="9" t="s">
        <v>441</v>
      </c>
      <c r="E303" s="5" t="s">
        <v>271</v>
      </c>
      <c r="F303" s="6">
        <v>379</v>
      </c>
      <c r="G303" s="6">
        <v>2060</v>
      </c>
      <c r="H303" s="6">
        <v>1082</v>
      </c>
      <c r="I303" s="6">
        <v>978</v>
      </c>
      <c r="J303" s="17">
        <f t="shared" si="12"/>
        <v>903.88170055452861</v>
      </c>
      <c r="K303" s="6">
        <v>207</v>
      </c>
      <c r="L303" s="6">
        <v>113</v>
      </c>
      <c r="M303" s="6">
        <v>94</v>
      </c>
      <c r="N303" s="7">
        <f t="shared" si="13"/>
        <v>10.048543689320388</v>
      </c>
      <c r="O303" s="6">
        <v>1259</v>
      </c>
      <c r="P303" s="6">
        <v>767</v>
      </c>
      <c r="Q303" s="6">
        <v>492</v>
      </c>
      <c r="R303" s="7">
        <v>71.331444759206803</v>
      </c>
      <c r="S303" s="7">
        <v>82.918918918918919</v>
      </c>
      <c r="T303" s="7">
        <v>58.571428571428577</v>
      </c>
      <c r="U303" s="15">
        <f t="shared" si="14"/>
        <v>1</v>
      </c>
    </row>
    <row r="304" spans="1:21" ht="18.75" customHeight="1">
      <c r="A304" s="16">
        <v>312</v>
      </c>
      <c r="B304" s="3">
        <v>63</v>
      </c>
      <c r="C304" s="4" t="s">
        <v>333</v>
      </c>
      <c r="D304" s="9" t="s">
        <v>441</v>
      </c>
      <c r="E304" s="5" t="s">
        <v>271</v>
      </c>
      <c r="F304" s="6">
        <v>716</v>
      </c>
      <c r="G304" s="6">
        <v>3686</v>
      </c>
      <c r="H304" s="6">
        <v>1950</v>
      </c>
      <c r="I304" s="6">
        <v>1736</v>
      </c>
      <c r="J304" s="17">
        <f t="shared" si="12"/>
        <v>890.25641025641028</v>
      </c>
      <c r="K304" s="6">
        <v>2226</v>
      </c>
      <c r="L304" s="6">
        <v>1176</v>
      </c>
      <c r="M304" s="6">
        <v>1050</v>
      </c>
      <c r="N304" s="7">
        <f t="shared" si="13"/>
        <v>60.390667390124797</v>
      </c>
      <c r="O304" s="6">
        <v>2174</v>
      </c>
      <c r="P304" s="6">
        <v>1247</v>
      </c>
      <c r="Q304" s="6">
        <v>927</v>
      </c>
      <c r="R304" s="7">
        <v>69.015873015873012</v>
      </c>
      <c r="S304" s="7">
        <v>75.075255869957857</v>
      </c>
      <c r="T304" s="7">
        <v>62.256548018804573</v>
      </c>
      <c r="U304" s="15">
        <f t="shared" si="14"/>
        <v>2</v>
      </c>
    </row>
    <row r="305" spans="1:21" ht="18.75" customHeight="1">
      <c r="A305" s="16">
        <v>313</v>
      </c>
      <c r="B305" s="3">
        <v>64</v>
      </c>
      <c r="C305" s="4" t="s">
        <v>334</v>
      </c>
      <c r="D305" s="9" t="s">
        <v>441</v>
      </c>
      <c r="E305" s="5" t="s">
        <v>271</v>
      </c>
      <c r="F305" s="6">
        <v>411</v>
      </c>
      <c r="G305" s="6">
        <v>2195</v>
      </c>
      <c r="H305" s="6">
        <v>1173</v>
      </c>
      <c r="I305" s="6">
        <v>1022</v>
      </c>
      <c r="J305" s="17">
        <f t="shared" si="12"/>
        <v>871.27024722932651</v>
      </c>
      <c r="K305" s="6">
        <v>470</v>
      </c>
      <c r="L305" s="6">
        <v>253</v>
      </c>
      <c r="M305" s="6">
        <v>217</v>
      </c>
      <c r="N305" s="7">
        <f t="shared" si="13"/>
        <v>21.412300683371299</v>
      </c>
      <c r="O305" s="6">
        <v>1129</v>
      </c>
      <c r="P305" s="6">
        <v>694</v>
      </c>
      <c r="Q305" s="6">
        <v>435</v>
      </c>
      <c r="R305" s="7">
        <v>60.406634563937935</v>
      </c>
      <c r="S305" s="7">
        <v>70.456852791878177</v>
      </c>
      <c r="T305" s="7">
        <v>49.20814479638009</v>
      </c>
      <c r="U305" s="15">
        <f t="shared" si="14"/>
        <v>2</v>
      </c>
    </row>
    <row r="306" spans="1:21" ht="18.75" customHeight="1">
      <c r="A306" s="16">
        <v>314</v>
      </c>
      <c r="B306" s="3">
        <v>65</v>
      </c>
      <c r="C306" s="4" t="s">
        <v>335</v>
      </c>
      <c r="D306" s="9" t="s">
        <v>441</v>
      </c>
      <c r="E306" s="5" t="s">
        <v>271</v>
      </c>
      <c r="F306" s="6">
        <v>684</v>
      </c>
      <c r="G306" s="6">
        <v>3438</v>
      </c>
      <c r="H306" s="6">
        <v>1784</v>
      </c>
      <c r="I306" s="6">
        <v>1654</v>
      </c>
      <c r="J306" s="17">
        <f t="shared" si="12"/>
        <v>927.13004484304929</v>
      </c>
      <c r="K306" s="6">
        <v>1561</v>
      </c>
      <c r="L306" s="6">
        <v>820</v>
      </c>
      <c r="M306" s="6">
        <v>741</v>
      </c>
      <c r="N306" s="7">
        <f t="shared" si="13"/>
        <v>45.404304828388597</v>
      </c>
      <c r="O306" s="6">
        <v>1984</v>
      </c>
      <c r="P306" s="6">
        <v>1183</v>
      </c>
      <c r="Q306" s="6">
        <v>801</v>
      </c>
      <c r="R306" s="7">
        <v>67.185912631222493</v>
      </c>
      <c r="S306" s="7">
        <v>76.569579288025892</v>
      </c>
      <c r="T306" s="7">
        <v>56.88920454545454</v>
      </c>
      <c r="U306" s="15">
        <f t="shared" si="14"/>
        <v>1</v>
      </c>
    </row>
    <row r="307" spans="1:21" ht="18.75" customHeight="1">
      <c r="A307" s="16">
        <v>315</v>
      </c>
      <c r="B307" s="3">
        <v>66</v>
      </c>
      <c r="C307" s="4" t="s">
        <v>336</v>
      </c>
      <c r="D307" s="9" t="s">
        <v>441</v>
      </c>
      <c r="E307" s="5" t="s">
        <v>271</v>
      </c>
      <c r="F307" s="6">
        <v>93</v>
      </c>
      <c r="G307" s="6">
        <v>420</v>
      </c>
      <c r="H307" s="6">
        <v>215</v>
      </c>
      <c r="I307" s="6">
        <v>205</v>
      </c>
      <c r="J307" s="17">
        <f t="shared" si="12"/>
        <v>953.48837209302326</v>
      </c>
      <c r="K307" s="6">
        <v>0</v>
      </c>
      <c r="L307" s="6">
        <v>0</v>
      </c>
      <c r="M307" s="6">
        <v>0</v>
      </c>
      <c r="N307" s="7">
        <f t="shared" si="13"/>
        <v>0</v>
      </c>
      <c r="O307" s="6">
        <v>255</v>
      </c>
      <c r="P307" s="6">
        <v>131</v>
      </c>
      <c r="Q307" s="6">
        <v>124</v>
      </c>
      <c r="R307" s="7">
        <v>70.054945054945051</v>
      </c>
      <c r="S307" s="7">
        <v>72.375690607734811</v>
      </c>
      <c r="T307" s="7">
        <v>67.759562841530055</v>
      </c>
      <c r="U307" s="15">
        <f t="shared" si="14"/>
        <v>1</v>
      </c>
    </row>
    <row r="308" spans="1:21" ht="18.75" customHeight="1">
      <c r="A308" s="16">
        <v>316</v>
      </c>
      <c r="B308" s="3">
        <v>1</v>
      </c>
      <c r="C308" s="4" t="s">
        <v>337</v>
      </c>
      <c r="D308" s="9" t="s">
        <v>441</v>
      </c>
      <c r="E308" s="5" t="s">
        <v>338</v>
      </c>
      <c r="F308" s="6">
        <v>526</v>
      </c>
      <c r="G308" s="6">
        <v>2599</v>
      </c>
      <c r="H308" s="6">
        <v>1387</v>
      </c>
      <c r="I308" s="6">
        <v>1212</v>
      </c>
      <c r="J308" s="17">
        <f t="shared" si="12"/>
        <v>873.8284066330209</v>
      </c>
      <c r="K308" s="6">
        <v>1076</v>
      </c>
      <c r="L308" s="6">
        <v>565</v>
      </c>
      <c r="M308" s="6">
        <v>511</v>
      </c>
      <c r="N308" s="7">
        <f t="shared" si="13"/>
        <v>41.400538668718738</v>
      </c>
      <c r="O308" s="6">
        <v>1496</v>
      </c>
      <c r="P308" s="6">
        <v>856</v>
      </c>
      <c r="Q308" s="6">
        <v>640</v>
      </c>
      <c r="R308" s="7">
        <v>66.165413533834581</v>
      </c>
      <c r="S308" s="7">
        <v>71.872376154492031</v>
      </c>
      <c r="T308" s="7">
        <v>59.813084112149525</v>
      </c>
      <c r="U308" s="15">
        <f t="shared" si="14"/>
        <v>2</v>
      </c>
    </row>
    <row r="309" spans="1:21" ht="18.75" customHeight="1">
      <c r="A309" s="16">
        <v>317</v>
      </c>
      <c r="B309" s="3">
        <v>2</v>
      </c>
      <c r="C309" s="4" t="s">
        <v>339</v>
      </c>
      <c r="D309" s="9" t="s">
        <v>441</v>
      </c>
      <c r="E309" s="5" t="s">
        <v>338</v>
      </c>
      <c r="F309" s="6">
        <v>470</v>
      </c>
      <c r="G309" s="6">
        <v>2474</v>
      </c>
      <c r="H309" s="6">
        <v>1316</v>
      </c>
      <c r="I309" s="6">
        <v>1158</v>
      </c>
      <c r="J309" s="17">
        <f t="shared" si="12"/>
        <v>879.93920972644378</v>
      </c>
      <c r="K309" s="6">
        <v>187</v>
      </c>
      <c r="L309" s="6">
        <v>105</v>
      </c>
      <c r="M309" s="6">
        <v>82</v>
      </c>
      <c r="N309" s="7">
        <f t="shared" si="13"/>
        <v>7.5586095392077617</v>
      </c>
      <c r="O309" s="6">
        <v>1691</v>
      </c>
      <c r="P309" s="6">
        <v>959</v>
      </c>
      <c r="Q309" s="6">
        <v>732</v>
      </c>
      <c r="R309" s="7">
        <v>77.96219455970494</v>
      </c>
      <c r="S309" s="7">
        <v>83.755458515283848</v>
      </c>
      <c r="T309" s="7">
        <v>71.484375</v>
      </c>
      <c r="U309" s="15">
        <f t="shared" si="14"/>
        <v>2</v>
      </c>
    </row>
    <row r="310" spans="1:21" ht="18.75" customHeight="1">
      <c r="A310" s="16">
        <v>318</v>
      </c>
      <c r="B310" s="3">
        <v>3</v>
      </c>
      <c r="C310" s="4" t="s">
        <v>340</v>
      </c>
      <c r="D310" s="9" t="s">
        <v>441</v>
      </c>
      <c r="E310" s="5" t="s">
        <v>338</v>
      </c>
      <c r="F310" s="6">
        <v>100</v>
      </c>
      <c r="G310" s="6">
        <v>486</v>
      </c>
      <c r="H310" s="6">
        <v>255</v>
      </c>
      <c r="I310" s="6">
        <v>231</v>
      </c>
      <c r="J310" s="17">
        <f t="shared" si="12"/>
        <v>905.88235294117646</v>
      </c>
      <c r="K310" s="6">
        <v>42</v>
      </c>
      <c r="L310" s="6">
        <v>22</v>
      </c>
      <c r="M310" s="6">
        <v>20</v>
      </c>
      <c r="N310" s="7">
        <f t="shared" si="13"/>
        <v>8.6419753086419746</v>
      </c>
      <c r="O310" s="6">
        <v>301</v>
      </c>
      <c r="P310" s="6">
        <v>171</v>
      </c>
      <c r="Q310" s="6">
        <v>130</v>
      </c>
      <c r="R310" s="7">
        <v>68.878718535469105</v>
      </c>
      <c r="S310" s="7">
        <v>75.663716814159287</v>
      </c>
      <c r="T310" s="7">
        <v>61.611374407582943</v>
      </c>
      <c r="U310" s="15">
        <f t="shared" si="14"/>
        <v>1</v>
      </c>
    </row>
    <row r="311" spans="1:21" ht="18.75" customHeight="1">
      <c r="A311" s="16">
        <v>319</v>
      </c>
      <c r="B311" s="3">
        <v>4</v>
      </c>
      <c r="C311" s="4" t="s">
        <v>341</v>
      </c>
      <c r="D311" s="9" t="s">
        <v>441</v>
      </c>
      <c r="E311" s="5" t="s">
        <v>338</v>
      </c>
      <c r="F311" s="6">
        <v>36</v>
      </c>
      <c r="G311" s="6">
        <v>163</v>
      </c>
      <c r="H311" s="6">
        <v>77</v>
      </c>
      <c r="I311" s="6">
        <v>86</v>
      </c>
      <c r="J311" s="17">
        <f t="shared" si="12"/>
        <v>1116.8831168831168</v>
      </c>
      <c r="K311" s="6">
        <v>34</v>
      </c>
      <c r="L311" s="6">
        <v>12</v>
      </c>
      <c r="M311" s="6">
        <v>22</v>
      </c>
      <c r="N311" s="7">
        <f t="shared" si="13"/>
        <v>20.858895705521473</v>
      </c>
      <c r="O311" s="6">
        <v>97</v>
      </c>
      <c r="P311" s="6">
        <v>48</v>
      </c>
      <c r="Q311" s="6">
        <v>49</v>
      </c>
      <c r="R311" s="7">
        <v>68.794326241134755</v>
      </c>
      <c r="S311" s="7">
        <v>72.727272727272734</v>
      </c>
      <c r="T311" s="7">
        <v>65.333333333333329</v>
      </c>
      <c r="U311" s="15">
        <f t="shared" si="14"/>
        <v>1</v>
      </c>
    </row>
    <row r="312" spans="1:21" ht="18.75" customHeight="1">
      <c r="A312" s="16">
        <v>320</v>
      </c>
      <c r="B312" s="3">
        <v>5</v>
      </c>
      <c r="C312" s="4" t="s">
        <v>342</v>
      </c>
      <c r="D312" s="9" t="s">
        <v>441</v>
      </c>
      <c r="E312" s="5" t="s">
        <v>338</v>
      </c>
      <c r="F312" s="6">
        <v>71</v>
      </c>
      <c r="G312" s="6">
        <v>378</v>
      </c>
      <c r="H312" s="6">
        <v>198</v>
      </c>
      <c r="I312" s="6">
        <v>180</v>
      </c>
      <c r="J312" s="17">
        <f t="shared" si="12"/>
        <v>909.09090909090901</v>
      </c>
      <c r="K312" s="6">
        <v>50</v>
      </c>
      <c r="L312" s="6">
        <v>27</v>
      </c>
      <c r="M312" s="6">
        <v>23</v>
      </c>
      <c r="N312" s="7">
        <f t="shared" si="13"/>
        <v>13.227513227513226</v>
      </c>
      <c r="O312" s="6">
        <v>266</v>
      </c>
      <c r="P312" s="6">
        <v>149</v>
      </c>
      <c r="Q312" s="6">
        <v>117</v>
      </c>
      <c r="R312" s="7">
        <v>76.657060518731996</v>
      </c>
      <c r="S312" s="7">
        <v>82.777777777777771</v>
      </c>
      <c r="T312" s="7">
        <v>70.05988023952095</v>
      </c>
      <c r="U312" s="15">
        <f t="shared" si="14"/>
        <v>1</v>
      </c>
    </row>
    <row r="313" spans="1:21" ht="18.75" customHeight="1">
      <c r="A313" s="16">
        <v>321</v>
      </c>
      <c r="B313" s="3">
        <v>6</v>
      </c>
      <c r="C313" s="4" t="s">
        <v>343</v>
      </c>
      <c r="D313" s="9" t="s">
        <v>441</v>
      </c>
      <c r="E313" s="5" t="s">
        <v>338</v>
      </c>
      <c r="F313" s="6">
        <v>164</v>
      </c>
      <c r="G313" s="6">
        <v>786</v>
      </c>
      <c r="H313" s="6">
        <v>426</v>
      </c>
      <c r="I313" s="6">
        <v>360</v>
      </c>
      <c r="J313" s="17">
        <f t="shared" ref="J313:J377" si="15">I313/H313*1000</f>
        <v>845.07042253521126</v>
      </c>
      <c r="K313" s="6">
        <v>134</v>
      </c>
      <c r="L313" s="6">
        <v>72</v>
      </c>
      <c r="M313" s="6">
        <v>62</v>
      </c>
      <c r="N313" s="7">
        <f t="shared" ref="N313:N376" si="16">K313/G313*100</f>
        <v>17.048346055979643</v>
      </c>
      <c r="O313" s="6">
        <v>562</v>
      </c>
      <c r="P313" s="6">
        <v>341</v>
      </c>
      <c r="Q313" s="6">
        <v>221</v>
      </c>
      <c r="R313" s="7">
        <v>78.164116828929068</v>
      </c>
      <c r="S313" s="7">
        <v>87.212276214833764</v>
      </c>
      <c r="T313" s="7">
        <v>67.378048780487802</v>
      </c>
      <c r="U313" s="15">
        <f t="shared" si="14"/>
        <v>2</v>
      </c>
    </row>
    <row r="314" spans="1:21" ht="18.75" customHeight="1">
      <c r="A314" s="16">
        <v>322</v>
      </c>
      <c r="B314" s="3">
        <v>7</v>
      </c>
      <c r="C314" s="4" t="s">
        <v>344</v>
      </c>
      <c r="D314" s="9" t="s">
        <v>441</v>
      </c>
      <c r="E314" s="5" t="s">
        <v>338</v>
      </c>
      <c r="F314" s="6">
        <v>373</v>
      </c>
      <c r="G314" s="6">
        <v>1986</v>
      </c>
      <c r="H314" s="6">
        <v>1035</v>
      </c>
      <c r="I314" s="6">
        <v>951</v>
      </c>
      <c r="J314" s="17">
        <f t="shared" si="15"/>
        <v>918.84057971014488</v>
      </c>
      <c r="K314" s="6">
        <v>310</v>
      </c>
      <c r="L314" s="6">
        <v>161</v>
      </c>
      <c r="M314" s="6">
        <v>149</v>
      </c>
      <c r="N314" s="7">
        <f t="shared" si="16"/>
        <v>15.609264853977844</v>
      </c>
      <c r="O314" s="6">
        <v>1316</v>
      </c>
      <c r="P314" s="6">
        <v>725</v>
      </c>
      <c r="Q314" s="6">
        <v>591</v>
      </c>
      <c r="R314" s="7">
        <v>76.069364161849705</v>
      </c>
      <c r="S314" s="7">
        <v>82.013574660633481</v>
      </c>
      <c r="T314" s="7">
        <v>69.858156028368796</v>
      </c>
      <c r="U314" s="15">
        <f t="shared" ref="U314:U377" si="17">IF($J314&gt;900,1,IF($J314&gt;800,2,IF($J314&gt;700,3,0)))</f>
        <v>1</v>
      </c>
    </row>
    <row r="315" spans="1:21" ht="18.75" customHeight="1">
      <c r="A315" s="16">
        <v>323</v>
      </c>
      <c r="B315" s="3">
        <v>8</v>
      </c>
      <c r="C315" s="4" t="s">
        <v>345</v>
      </c>
      <c r="D315" s="9" t="s">
        <v>441</v>
      </c>
      <c r="E315" s="5" t="s">
        <v>338</v>
      </c>
      <c r="F315" s="6">
        <v>397</v>
      </c>
      <c r="G315" s="6">
        <v>2041</v>
      </c>
      <c r="H315" s="6">
        <v>1080</v>
      </c>
      <c r="I315" s="6">
        <v>961</v>
      </c>
      <c r="J315" s="17">
        <f t="shared" si="15"/>
        <v>889.81481481481478</v>
      </c>
      <c r="K315" s="6">
        <v>535</v>
      </c>
      <c r="L315" s="6">
        <v>287</v>
      </c>
      <c r="M315" s="6">
        <v>248</v>
      </c>
      <c r="N315" s="7">
        <f t="shared" si="16"/>
        <v>26.212640862322388</v>
      </c>
      <c r="O315" s="6">
        <v>1242</v>
      </c>
      <c r="P315" s="6">
        <v>699</v>
      </c>
      <c r="Q315" s="6">
        <v>543</v>
      </c>
      <c r="R315" s="7">
        <v>69.696969696969703</v>
      </c>
      <c r="S315" s="7">
        <v>74.599786552828178</v>
      </c>
      <c r="T315" s="7">
        <v>64.26035502958581</v>
      </c>
      <c r="U315" s="15">
        <f t="shared" si="17"/>
        <v>2</v>
      </c>
    </row>
    <row r="316" spans="1:21" ht="18.75" customHeight="1">
      <c r="A316" s="16">
        <v>324</v>
      </c>
      <c r="B316" s="3">
        <v>9</v>
      </c>
      <c r="C316" s="4" t="s">
        <v>346</v>
      </c>
      <c r="D316" s="9" t="s">
        <v>441</v>
      </c>
      <c r="E316" s="5" t="s">
        <v>338</v>
      </c>
      <c r="F316" s="6">
        <v>138</v>
      </c>
      <c r="G316" s="6">
        <v>766</v>
      </c>
      <c r="H316" s="6">
        <v>395</v>
      </c>
      <c r="I316" s="6">
        <v>371</v>
      </c>
      <c r="J316" s="17">
        <f t="shared" si="15"/>
        <v>939.24050632911394</v>
      </c>
      <c r="K316" s="6">
        <v>385</v>
      </c>
      <c r="L316" s="6">
        <v>197</v>
      </c>
      <c r="M316" s="6">
        <v>188</v>
      </c>
      <c r="N316" s="7">
        <f t="shared" si="16"/>
        <v>50.261096605744129</v>
      </c>
      <c r="O316" s="6">
        <v>485</v>
      </c>
      <c r="P316" s="6">
        <v>285</v>
      </c>
      <c r="Q316" s="6">
        <v>200</v>
      </c>
      <c r="R316" s="7">
        <v>73.932926829268297</v>
      </c>
      <c r="S316" s="7">
        <v>86.36363636363636</v>
      </c>
      <c r="T316" s="7">
        <v>61.349693251533743</v>
      </c>
      <c r="U316" s="15">
        <f t="shared" si="17"/>
        <v>1</v>
      </c>
    </row>
    <row r="317" spans="1:21" ht="18.75" customHeight="1">
      <c r="A317" s="16">
        <v>325</v>
      </c>
      <c r="B317" s="3">
        <v>10</v>
      </c>
      <c r="C317" s="4" t="s">
        <v>347</v>
      </c>
      <c r="D317" s="9" t="s">
        <v>441</v>
      </c>
      <c r="E317" s="5" t="s">
        <v>338</v>
      </c>
      <c r="F317" s="6">
        <v>234</v>
      </c>
      <c r="G317" s="6">
        <v>1167</v>
      </c>
      <c r="H317" s="6">
        <v>626</v>
      </c>
      <c r="I317" s="6">
        <v>541</v>
      </c>
      <c r="J317" s="17">
        <f t="shared" si="15"/>
        <v>864.21725239616615</v>
      </c>
      <c r="K317" s="6">
        <v>198</v>
      </c>
      <c r="L317" s="6">
        <v>110</v>
      </c>
      <c r="M317" s="6">
        <v>88</v>
      </c>
      <c r="N317" s="7">
        <f t="shared" si="16"/>
        <v>16.966580976863753</v>
      </c>
      <c r="O317" s="6">
        <v>759</v>
      </c>
      <c r="P317" s="6">
        <v>444</v>
      </c>
      <c r="Q317" s="6">
        <v>315</v>
      </c>
      <c r="R317" s="7">
        <v>74.557956777996068</v>
      </c>
      <c r="S317" s="7">
        <v>81.467889908256879</v>
      </c>
      <c r="T317" s="7">
        <v>66.596194503171247</v>
      </c>
      <c r="U317" s="15">
        <f t="shared" si="17"/>
        <v>2</v>
      </c>
    </row>
    <row r="318" spans="1:21" ht="18.75" customHeight="1">
      <c r="A318" s="16">
        <v>326</v>
      </c>
      <c r="B318" s="3">
        <v>11</v>
      </c>
      <c r="C318" s="4" t="s">
        <v>348</v>
      </c>
      <c r="D318" s="9" t="s">
        <v>441</v>
      </c>
      <c r="E318" s="5" t="s">
        <v>338</v>
      </c>
      <c r="F318" s="6">
        <v>110</v>
      </c>
      <c r="G318" s="6">
        <v>519</v>
      </c>
      <c r="H318" s="6">
        <v>269</v>
      </c>
      <c r="I318" s="6">
        <v>250</v>
      </c>
      <c r="J318" s="17">
        <f t="shared" si="15"/>
        <v>929.36802973977694</v>
      </c>
      <c r="K318" s="6">
        <v>116</v>
      </c>
      <c r="L318" s="6">
        <v>59</v>
      </c>
      <c r="M318" s="6">
        <v>57</v>
      </c>
      <c r="N318" s="7">
        <f t="shared" si="16"/>
        <v>22.350674373795762</v>
      </c>
      <c r="O318" s="6">
        <v>277</v>
      </c>
      <c r="P318" s="6">
        <v>159</v>
      </c>
      <c r="Q318" s="6">
        <v>118</v>
      </c>
      <c r="R318" s="7">
        <v>60.086767895878523</v>
      </c>
      <c r="S318" s="7">
        <v>65.432098765432102</v>
      </c>
      <c r="T318" s="7">
        <v>54.128440366972477</v>
      </c>
      <c r="U318" s="15">
        <f t="shared" si="17"/>
        <v>1</v>
      </c>
    </row>
    <row r="319" spans="1:21" ht="18.75" customHeight="1">
      <c r="A319" s="16">
        <v>327</v>
      </c>
      <c r="B319" s="3">
        <v>12</v>
      </c>
      <c r="C319" s="4" t="s">
        <v>349</v>
      </c>
      <c r="D319" s="9" t="s">
        <v>441</v>
      </c>
      <c r="E319" s="5" t="s">
        <v>338</v>
      </c>
      <c r="F319" s="6">
        <v>326</v>
      </c>
      <c r="G319" s="6">
        <v>1529</v>
      </c>
      <c r="H319" s="6">
        <v>805</v>
      </c>
      <c r="I319" s="6">
        <v>724</v>
      </c>
      <c r="J319" s="17">
        <f t="shared" si="15"/>
        <v>899.37888198757764</v>
      </c>
      <c r="K319" s="6">
        <v>538</v>
      </c>
      <c r="L319" s="6">
        <v>279</v>
      </c>
      <c r="M319" s="6">
        <v>259</v>
      </c>
      <c r="N319" s="7">
        <f t="shared" si="16"/>
        <v>35.186396337475472</v>
      </c>
      <c r="O319" s="6">
        <v>880</v>
      </c>
      <c r="P319" s="6">
        <v>516</v>
      </c>
      <c r="Q319" s="6">
        <v>364</v>
      </c>
      <c r="R319" s="7">
        <v>64.944649446494466</v>
      </c>
      <c r="S319" s="7">
        <v>72.167832167832174</v>
      </c>
      <c r="T319" s="7">
        <v>56.875</v>
      </c>
      <c r="U319" s="15">
        <f t="shared" si="17"/>
        <v>2</v>
      </c>
    </row>
    <row r="320" spans="1:21" ht="18.75" customHeight="1">
      <c r="A320" s="16">
        <v>328</v>
      </c>
      <c r="B320" s="3">
        <v>13</v>
      </c>
      <c r="C320" s="4" t="s">
        <v>350</v>
      </c>
      <c r="D320" s="9" t="s">
        <v>441</v>
      </c>
      <c r="E320" s="5" t="s">
        <v>338</v>
      </c>
      <c r="F320" s="6">
        <v>318</v>
      </c>
      <c r="G320" s="6">
        <v>1634</v>
      </c>
      <c r="H320" s="6">
        <v>882</v>
      </c>
      <c r="I320" s="6">
        <v>752</v>
      </c>
      <c r="J320" s="17">
        <f t="shared" si="15"/>
        <v>852.60770975056687</v>
      </c>
      <c r="K320" s="6">
        <v>586</v>
      </c>
      <c r="L320" s="6">
        <v>326</v>
      </c>
      <c r="M320" s="6">
        <v>260</v>
      </c>
      <c r="N320" s="7">
        <f t="shared" si="16"/>
        <v>35.862913096695223</v>
      </c>
      <c r="O320" s="6">
        <v>1027</v>
      </c>
      <c r="P320" s="6">
        <v>606</v>
      </c>
      <c r="Q320" s="6">
        <v>421</v>
      </c>
      <c r="R320" s="7">
        <v>72.222222222222214</v>
      </c>
      <c r="S320" s="7">
        <v>79.736842105263165</v>
      </c>
      <c r="T320" s="7">
        <v>63.59516616314199</v>
      </c>
      <c r="U320" s="15">
        <f t="shared" si="17"/>
        <v>2</v>
      </c>
    </row>
    <row r="321" spans="1:21" ht="18.75" customHeight="1">
      <c r="A321" s="16">
        <v>329</v>
      </c>
      <c r="B321" s="3">
        <v>14</v>
      </c>
      <c r="C321" s="4" t="s">
        <v>351</v>
      </c>
      <c r="D321" s="9" t="s">
        <v>441</v>
      </c>
      <c r="E321" s="5" t="s">
        <v>338</v>
      </c>
      <c r="F321" s="6">
        <v>200</v>
      </c>
      <c r="G321" s="6">
        <v>1129</v>
      </c>
      <c r="H321" s="6">
        <v>607</v>
      </c>
      <c r="I321" s="6">
        <v>522</v>
      </c>
      <c r="J321" s="17">
        <f t="shared" si="15"/>
        <v>859.96705107084017</v>
      </c>
      <c r="K321" s="6">
        <v>74</v>
      </c>
      <c r="L321" s="6">
        <v>40</v>
      </c>
      <c r="M321" s="6">
        <v>34</v>
      </c>
      <c r="N321" s="7">
        <f t="shared" si="16"/>
        <v>6.5544729849424259</v>
      </c>
      <c r="O321" s="6">
        <v>752</v>
      </c>
      <c r="P321" s="6">
        <v>442</v>
      </c>
      <c r="Q321" s="6">
        <v>310</v>
      </c>
      <c r="R321" s="7">
        <v>74.975074775672979</v>
      </c>
      <c r="S321" s="7">
        <v>81.399631675874772</v>
      </c>
      <c r="T321" s="7">
        <v>67.391304347826093</v>
      </c>
      <c r="U321" s="15">
        <f t="shared" si="17"/>
        <v>2</v>
      </c>
    </row>
    <row r="322" spans="1:21" ht="18.75" customHeight="1">
      <c r="A322" s="16">
        <v>330</v>
      </c>
      <c r="B322" s="3">
        <v>15</v>
      </c>
      <c r="C322" s="4" t="s">
        <v>352</v>
      </c>
      <c r="D322" s="9" t="s">
        <v>441</v>
      </c>
      <c r="E322" s="5" t="s">
        <v>338</v>
      </c>
      <c r="F322" s="6">
        <v>69</v>
      </c>
      <c r="G322" s="6">
        <v>369</v>
      </c>
      <c r="H322" s="6">
        <v>198</v>
      </c>
      <c r="I322" s="6">
        <v>171</v>
      </c>
      <c r="J322" s="17">
        <f t="shared" si="15"/>
        <v>863.63636363636363</v>
      </c>
      <c r="K322" s="6">
        <v>0</v>
      </c>
      <c r="L322" s="6">
        <v>0</v>
      </c>
      <c r="M322" s="6">
        <v>0</v>
      </c>
      <c r="N322" s="7">
        <f t="shared" si="16"/>
        <v>0</v>
      </c>
      <c r="O322" s="6">
        <v>252</v>
      </c>
      <c r="P322" s="6">
        <v>143</v>
      </c>
      <c r="Q322" s="6">
        <v>109</v>
      </c>
      <c r="R322" s="7">
        <v>74.336283185840713</v>
      </c>
      <c r="S322" s="7">
        <v>79.888268156424573</v>
      </c>
      <c r="T322" s="7">
        <v>68.125</v>
      </c>
      <c r="U322" s="15">
        <f t="shared" si="17"/>
        <v>2</v>
      </c>
    </row>
    <row r="323" spans="1:21" ht="18.75" customHeight="1">
      <c r="A323" s="16">
        <v>331</v>
      </c>
      <c r="B323" s="3">
        <v>16</v>
      </c>
      <c r="C323" s="4" t="s">
        <v>353</v>
      </c>
      <c r="D323" s="9" t="s">
        <v>441</v>
      </c>
      <c r="E323" s="5" t="s">
        <v>338</v>
      </c>
      <c r="F323" s="6">
        <v>461</v>
      </c>
      <c r="G323" s="6">
        <v>2659</v>
      </c>
      <c r="H323" s="6">
        <v>1392</v>
      </c>
      <c r="I323" s="6">
        <v>1267</v>
      </c>
      <c r="J323" s="17">
        <f t="shared" si="15"/>
        <v>910.20114942528744</v>
      </c>
      <c r="K323" s="6">
        <v>544</v>
      </c>
      <c r="L323" s="6">
        <v>286</v>
      </c>
      <c r="M323" s="6">
        <v>258</v>
      </c>
      <c r="N323" s="7">
        <f t="shared" si="16"/>
        <v>20.458819104926665</v>
      </c>
      <c r="O323" s="6">
        <v>1649</v>
      </c>
      <c r="P323" s="6">
        <v>947</v>
      </c>
      <c r="Q323" s="6">
        <v>702</v>
      </c>
      <c r="R323" s="7">
        <v>70.170212765957444</v>
      </c>
      <c r="S323" s="7">
        <v>76.99186991869918</v>
      </c>
      <c r="T323" s="7">
        <v>62.678571428571431</v>
      </c>
      <c r="U323" s="15">
        <f t="shared" si="17"/>
        <v>1</v>
      </c>
    </row>
    <row r="324" spans="1:21" ht="18.75" customHeight="1">
      <c r="A324" s="16">
        <v>332</v>
      </c>
      <c r="B324" s="3">
        <v>17</v>
      </c>
      <c r="C324" s="4" t="s">
        <v>354</v>
      </c>
      <c r="D324" s="9" t="s">
        <v>441</v>
      </c>
      <c r="E324" s="5" t="s">
        <v>338</v>
      </c>
      <c r="F324" s="6">
        <v>1356</v>
      </c>
      <c r="G324" s="6">
        <v>7089</v>
      </c>
      <c r="H324" s="6">
        <v>3781</v>
      </c>
      <c r="I324" s="6">
        <v>3308</v>
      </c>
      <c r="J324" s="17">
        <f t="shared" si="15"/>
        <v>874.90081988891836</v>
      </c>
      <c r="K324" s="6">
        <v>2034</v>
      </c>
      <c r="L324" s="6">
        <v>1074</v>
      </c>
      <c r="M324" s="6">
        <v>960</v>
      </c>
      <c r="N324" s="7">
        <f t="shared" si="16"/>
        <v>28.692340245450698</v>
      </c>
      <c r="O324" s="6">
        <v>4966</v>
      </c>
      <c r="P324" s="6">
        <v>2826</v>
      </c>
      <c r="Q324" s="6">
        <v>2140</v>
      </c>
      <c r="R324" s="7">
        <v>79.967793880837363</v>
      </c>
      <c r="S324" s="7">
        <v>85.610421084519842</v>
      </c>
      <c r="T324" s="7">
        <v>73.564798899965623</v>
      </c>
      <c r="U324" s="15">
        <f t="shared" si="17"/>
        <v>2</v>
      </c>
    </row>
    <row r="325" spans="1:21" ht="18.75" customHeight="1">
      <c r="A325" s="16">
        <v>333</v>
      </c>
      <c r="B325" s="3">
        <v>18</v>
      </c>
      <c r="C325" s="4" t="s">
        <v>355</v>
      </c>
      <c r="D325" s="9" t="s">
        <v>441</v>
      </c>
      <c r="E325" s="5" t="s">
        <v>338</v>
      </c>
      <c r="F325" s="6">
        <v>265</v>
      </c>
      <c r="G325" s="6">
        <v>1421</v>
      </c>
      <c r="H325" s="6">
        <v>748</v>
      </c>
      <c r="I325" s="6">
        <v>673</v>
      </c>
      <c r="J325" s="17">
        <f t="shared" si="15"/>
        <v>899.73262032085563</v>
      </c>
      <c r="K325" s="6">
        <v>194</v>
      </c>
      <c r="L325" s="6">
        <v>102</v>
      </c>
      <c r="M325" s="6">
        <v>92</v>
      </c>
      <c r="N325" s="7">
        <f t="shared" si="16"/>
        <v>13.652357494722025</v>
      </c>
      <c r="O325" s="6">
        <v>961</v>
      </c>
      <c r="P325" s="6">
        <v>545</v>
      </c>
      <c r="Q325" s="6">
        <v>416</v>
      </c>
      <c r="R325" s="7">
        <v>76.451869530628485</v>
      </c>
      <c r="S325" s="7">
        <v>82.82674772036475</v>
      </c>
      <c r="T325" s="7">
        <v>69.449081803005015</v>
      </c>
      <c r="U325" s="15">
        <f t="shared" si="17"/>
        <v>2</v>
      </c>
    </row>
    <row r="326" spans="1:21" ht="18.75" customHeight="1">
      <c r="A326" s="16">
        <v>334</v>
      </c>
      <c r="B326" s="3">
        <v>19</v>
      </c>
      <c r="C326" s="4" t="s">
        <v>356</v>
      </c>
      <c r="D326" s="9" t="s">
        <v>441</v>
      </c>
      <c r="E326" s="5" t="s">
        <v>338</v>
      </c>
      <c r="F326" s="6">
        <v>354</v>
      </c>
      <c r="G326" s="6">
        <v>2007</v>
      </c>
      <c r="H326" s="6">
        <v>1085</v>
      </c>
      <c r="I326" s="6">
        <v>922</v>
      </c>
      <c r="J326" s="17">
        <f t="shared" si="15"/>
        <v>849.76958525345628</v>
      </c>
      <c r="K326" s="6">
        <v>570</v>
      </c>
      <c r="L326" s="6">
        <v>294</v>
      </c>
      <c r="M326" s="6">
        <v>276</v>
      </c>
      <c r="N326" s="7">
        <f t="shared" si="16"/>
        <v>28.400597907324364</v>
      </c>
      <c r="O326" s="6">
        <v>1185</v>
      </c>
      <c r="P326" s="6">
        <v>715</v>
      </c>
      <c r="Q326" s="6">
        <v>470</v>
      </c>
      <c r="R326" s="7">
        <v>68.93542757417103</v>
      </c>
      <c r="S326" s="7">
        <v>77.801958650707292</v>
      </c>
      <c r="T326" s="7">
        <v>58.75</v>
      </c>
      <c r="U326" s="15">
        <f t="shared" si="17"/>
        <v>2</v>
      </c>
    </row>
    <row r="327" spans="1:21" ht="18.75" customHeight="1">
      <c r="A327" s="16">
        <v>335</v>
      </c>
      <c r="B327" s="3">
        <v>20</v>
      </c>
      <c r="C327" s="4" t="s">
        <v>357</v>
      </c>
      <c r="D327" s="9" t="s">
        <v>441</v>
      </c>
      <c r="E327" s="5" t="s">
        <v>338</v>
      </c>
      <c r="F327" s="6">
        <v>46</v>
      </c>
      <c r="G327" s="6">
        <v>236</v>
      </c>
      <c r="H327" s="6">
        <v>121</v>
      </c>
      <c r="I327" s="6">
        <v>115</v>
      </c>
      <c r="J327" s="17">
        <f t="shared" si="15"/>
        <v>950.41322314049592</v>
      </c>
      <c r="K327" s="6">
        <v>0</v>
      </c>
      <c r="L327" s="6">
        <v>0</v>
      </c>
      <c r="M327" s="6">
        <v>0</v>
      </c>
      <c r="N327" s="7">
        <f t="shared" si="16"/>
        <v>0</v>
      </c>
      <c r="O327" s="6">
        <v>157</v>
      </c>
      <c r="P327" s="6">
        <v>84</v>
      </c>
      <c r="Q327" s="6">
        <v>73</v>
      </c>
      <c r="R327" s="7">
        <v>73.36448598130842</v>
      </c>
      <c r="S327" s="7">
        <v>76.363636363636374</v>
      </c>
      <c r="T327" s="7">
        <v>70.192307692307693</v>
      </c>
      <c r="U327" s="15">
        <f t="shared" si="17"/>
        <v>1</v>
      </c>
    </row>
    <row r="328" spans="1:21" ht="18.75" customHeight="1">
      <c r="A328" s="16">
        <v>336</v>
      </c>
      <c r="B328" s="3">
        <v>21</v>
      </c>
      <c r="C328" s="4" t="s">
        <v>358</v>
      </c>
      <c r="D328" s="9" t="s">
        <v>441</v>
      </c>
      <c r="E328" s="5" t="s">
        <v>338</v>
      </c>
      <c r="F328" s="6">
        <v>390</v>
      </c>
      <c r="G328" s="6">
        <v>1970</v>
      </c>
      <c r="H328" s="6">
        <v>1039</v>
      </c>
      <c r="I328" s="6">
        <v>931</v>
      </c>
      <c r="J328" s="17">
        <f t="shared" si="15"/>
        <v>896.05389797882583</v>
      </c>
      <c r="K328" s="6">
        <v>897</v>
      </c>
      <c r="L328" s="6">
        <v>480</v>
      </c>
      <c r="M328" s="6">
        <v>417</v>
      </c>
      <c r="N328" s="7">
        <f t="shared" si="16"/>
        <v>45.532994923857864</v>
      </c>
      <c r="O328" s="6">
        <v>1258</v>
      </c>
      <c r="P328" s="6">
        <v>714</v>
      </c>
      <c r="Q328" s="6">
        <v>544</v>
      </c>
      <c r="R328" s="7">
        <v>73.782991202346039</v>
      </c>
      <c r="S328" s="7">
        <v>80.677966101694921</v>
      </c>
      <c r="T328" s="7">
        <v>66.341463414634148</v>
      </c>
      <c r="U328" s="15">
        <f t="shared" si="17"/>
        <v>2</v>
      </c>
    </row>
    <row r="329" spans="1:21" ht="18.75" customHeight="1">
      <c r="A329" s="16">
        <v>337</v>
      </c>
      <c r="B329" s="3">
        <v>22</v>
      </c>
      <c r="C329" s="4" t="s">
        <v>359</v>
      </c>
      <c r="D329" s="9" t="s">
        <v>441</v>
      </c>
      <c r="E329" s="5" t="s">
        <v>338</v>
      </c>
      <c r="F329" s="6">
        <v>54</v>
      </c>
      <c r="G329" s="6">
        <v>330</v>
      </c>
      <c r="H329" s="6">
        <v>175</v>
      </c>
      <c r="I329" s="6">
        <v>155</v>
      </c>
      <c r="J329" s="17">
        <f t="shared" si="15"/>
        <v>885.71428571428567</v>
      </c>
      <c r="K329" s="6">
        <v>6</v>
      </c>
      <c r="L329" s="6">
        <v>3</v>
      </c>
      <c r="M329" s="6">
        <v>3</v>
      </c>
      <c r="N329" s="7">
        <f t="shared" si="16"/>
        <v>1.8181818181818181</v>
      </c>
      <c r="O329" s="6">
        <v>228</v>
      </c>
      <c r="P329" s="6">
        <v>124</v>
      </c>
      <c r="Q329" s="6">
        <v>104</v>
      </c>
      <c r="R329" s="7">
        <v>74.754098360655746</v>
      </c>
      <c r="S329" s="7">
        <v>77.5</v>
      </c>
      <c r="T329" s="7">
        <v>71.724137931034477</v>
      </c>
      <c r="U329" s="15">
        <f t="shared" si="17"/>
        <v>2</v>
      </c>
    </row>
    <row r="330" spans="1:21" ht="18.75" customHeight="1">
      <c r="A330" s="16">
        <v>338</v>
      </c>
      <c r="B330" s="3">
        <v>23</v>
      </c>
      <c r="C330" s="4" t="s">
        <v>360</v>
      </c>
      <c r="D330" s="9" t="s">
        <v>441</v>
      </c>
      <c r="E330" s="5" t="s">
        <v>338</v>
      </c>
      <c r="F330" s="6">
        <v>303</v>
      </c>
      <c r="G330" s="6">
        <v>1480</v>
      </c>
      <c r="H330" s="6">
        <v>781</v>
      </c>
      <c r="I330" s="6">
        <v>699</v>
      </c>
      <c r="J330" s="17">
        <f t="shared" si="15"/>
        <v>895.00640204865556</v>
      </c>
      <c r="K330" s="6">
        <v>351</v>
      </c>
      <c r="L330" s="6">
        <v>175</v>
      </c>
      <c r="M330" s="6">
        <v>176</v>
      </c>
      <c r="N330" s="7">
        <f t="shared" si="16"/>
        <v>23.716216216216214</v>
      </c>
      <c r="O330" s="6">
        <v>843</v>
      </c>
      <c r="P330" s="6">
        <v>518</v>
      </c>
      <c r="Q330" s="6">
        <v>325</v>
      </c>
      <c r="R330" s="7">
        <v>69.21182266009852</v>
      </c>
      <c r="S330" s="7">
        <v>80.685358255451717</v>
      </c>
      <c r="T330" s="7">
        <v>56.423611111111114</v>
      </c>
      <c r="U330" s="15">
        <f t="shared" si="17"/>
        <v>2</v>
      </c>
    </row>
    <row r="331" spans="1:21" ht="18.75" customHeight="1">
      <c r="A331" s="16">
        <v>339</v>
      </c>
      <c r="B331" s="3">
        <v>24</v>
      </c>
      <c r="C331" s="4" t="s">
        <v>361</v>
      </c>
      <c r="D331" s="9" t="s">
        <v>441</v>
      </c>
      <c r="E331" s="5" t="s">
        <v>338</v>
      </c>
      <c r="F331" s="6">
        <v>78</v>
      </c>
      <c r="G331" s="6">
        <v>403</v>
      </c>
      <c r="H331" s="6">
        <v>211</v>
      </c>
      <c r="I331" s="6">
        <v>192</v>
      </c>
      <c r="J331" s="17">
        <f>I331/H331*1000</f>
        <v>909.95260663507099</v>
      </c>
      <c r="K331" s="6">
        <v>57</v>
      </c>
      <c r="L331" s="6">
        <v>30</v>
      </c>
      <c r="M331" s="6">
        <v>27</v>
      </c>
      <c r="N331" s="7">
        <f t="shared" si="16"/>
        <v>14.143920595533499</v>
      </c>
      <c r="O331" s="6">
        <v>252</v>
      </c>
      <c r="P331" s="6">
        <v>144</v>
      </c>
      <c r="Q331" s="6">
        <v>108</v>
      </c>
      <c r="R331" s="7">
        <v>72.206303724928361</v>
      </c>
      <c r="S331" s="7">
        <v>82.758620689655174</v>
      </c>
      <c r="T331" s="7">
        <v>61.714285714285708</v>
      </c>
      <c r="U331" s="15">
        <f t="shared" si="17"/>
        <v>1</v>
      </c>
    </row>
    <row r="332" spans="1:21" ht="18.75" customHeight="1">
      <c r="A332" s="16">
        <v>340</v>
      </c>
      <c r="B332" s="3">
        <v>25</v>
      </c>
      <c r="C332" s="4" t="s">
        <v>362</v>
      </c>
      <c r="D332" s="9" t="s">
        <v>441</v>
      </c>
      <c r="E332" s="5" t="s">
        <v>338</v>
      </c>
      <c r="F332" s="6">
        <v>91</v>
      </c>
      <c r="G332" s="6">
        <v>460</v>
      </c>
      <c r="H332" s="6">
        <v>243</v>
      </c>
      <c r="I332" s="6">
        <v>217</v>
      </c>
      <c r="J332" s="17">
        <f t="shared" si="15"/>
        <v>893.00411522633749</v>
      </c>
      <c r="K332" s="6">
        <v>126</v>
      </c>
      <c r="L332" s="6">
        <v>65</v>
      </c>
      <c r="M332" s="6">
        <v>61</v>
      </c>
      <c r="N332" s="7">
        <f t="shared" si="16"/>
        <v>27.391304347826086</v>
      </c>
      <c r="O332" s="6">
        <v>321</v>
      </c>
      <c r="P332" s="6">
        <v>188</v>
      </c>
      <c r="Q332" s="6">
        <v>133</v>
      </c>
      <c r="R332" s="7">
        <v>78.86977886977887</v>
      </c>
      <c r="S332" s="7">
        <v>88.679245283018872</v>
      </c>
      <c r="T332" s="7">
        <v>68.205128205128204</v>
      </c>
      <c r="U332" s="15">
        <f t="shared" si="17"/>
        <v>2</v>
      </c>
    </row>
    <row r="333" spans="1:21" ht="18.75" customHeight="1">
      <c r="A333" s="16">
        <v>341</v>
      </c>
      <c r="B333" s="3">
        <v>26</v>
      </c>
      <c r="C333" s="4" t="s">
        <v>363</v>
      </c>
      <c r="D333" s="9" t="s">
        <v>441</v>
      </c>
      <c r="E333" s="5" t="s">
        <v>338</v>
      </c>
      <c r="F333" s="6">
        <v>67</v>
      </c>
      <c r="G333" s="6">
        <v>314</v>
      </c>
      <c r="H333" s="6">
        <v>160</v>
      </c>
      <c r="I333" s="6">
        <v>154</v>
      </c>
      <c r="J333" s="17">
        <f t="shared" si="15"/>
        <v>962.5</v>
      </c>
      <c r="K333" s="6">
        <v>1</v>
      </c>
      <c r="L333" s="6">
        <v>1</v>
      </c>
      <c r="M333" s="6">
        <v>0</v>
      </c>
      <c r="N333" s="7">
        <f t="shared" si="16"/>
        <v>0.31847133757961787</v>
      </c>
      <c r="O333" s="6">
        <v>204</v>
      </c>
      <c r="P333" s="6">
        <v>116</v>
      </c>
      <c r="Q333" s="6">
        <v>88</v>
      </c>
      <c r="R333" s="7">
        <v>75.276752767527682</v>
      </c>
      <c r="S333" s="7">
        <v>84.05797101449275</v>
      </c>
      <c r="T333" s="7">
        <v>66.165413533834581</v>
      </c>
      <c r="U333" s="15">
        <f t="shared" si="17"/>
        <v>1</v>
      </c>
    </row>
    <row r="334" spans="1:21" ht="18.75" customHeight="1">
      <c r="A334" s="16">
        <v>342</v>
      </c>
      <c r="B334" s="3">
        <v>27</v>
      </c>
      <c r="C334" s="4" t="s">
        <v>364</v>
      </c>
      <c r="D334" s="9" t="s">
        <v>441</v>
      </c>
      <c r="E334" s="5" t="s">
        <v>338</v>
      </c>
      <c r="F334" s="6">
        <v>366</v>
      </c>
      <c r="G334" s="6">
        <v>1885</v>
      </c>
      <c r="H334" s="6">
        <v>983</v>
      </c>
      <c r="I334" s="6">
        <v>902</v>
      </c>
      <c r="J334" s="17">
        <f t="shared" si="15"/>
        <v>917.59918616480161</v>
      </c>
      <c r="K334" s="6">
        <v>399</v>
      </c>
      <c r="L334" s="6">
        <v>207</v>
      </c>
      <c r="M334" s="6">
        <v>192</v>
      </c>
      <c r="N334" s="7">
        <f t="shared" si="16"/>
        <v>21.167108753315649</v>
      </c>
      <c r="O334" s="6">
        <v>1146</v>
      </c>
      <c r="P334" s="6">
        <v>659</v>
      </c>
      <c r="Q334" s="6">
        <v>487</v>
      </c>
      <c r="R334" s="7">
        <v>68.911605532170768</v>
      </c>
      <c r="S334" s="7">
        <v>76.538908246225319</v>
      </c>
      <c r="T334" s="7">
        <v>60.723192019950126</v>
      </c>
      <c r="U334" s="15">
        <f t="shared" si="17"/>
        <v>1</v>
      </c>
    </row>
    <row r="335" spans="1:21" ht="18.75" customHeight="1">
      <c r="A335" s="16">
        <v>343</v>
      </c>
      <c r="B335" s="3">
        <v>28</v>
      </c>
      <c r="C335" s="4" t="s">
        <v>365</v>
      </c>
      <c r="D335" s="9" t="s">
        <v>441</v>
      </c>
      <c r="E335" s="5" t="s">
        <v>338</v>
      </c>
      <c r="F335" s="6">
        <v>257</v>
      </c>
      <c r="G335" s="6">
        <v>1420</v>
      </c>
      <c r="H335" s="6">
        <v>723</v>
      </c>
      <c r="I335" s="6">
        <v>697</v>
      </c>
      <c r="J335" s="17">
        <f t="shared" si="15"/>
        <v>964.03872752420477</v>
      </c>
      <c r="K335" s="6">
        <v>314</v>
      </c>
      <c r="L335" s="6">
        <v>153</v>
      </c>
      <c r="M335" s="6">
        <v>161</v>
      </c>
      <c r="N335" s="7">
        <f t="shared" si="16"/>
        <v>22.112676056338028</v>
      </c>
      <c r="O335" s="6">
        <v>930</v>
      </c>
      <c r="P335" s="6">
        <v>528</v>
      </c>
      <c r="Q335" s="6">
        <v>402</v>
      </c>
      <c r="R335" s="7">
        <v>75.54833468724614</v>
      </c>
      <c r="S335" s="7">
        <v>83.544303797468359</v>
      </c>
      <c r="T335" s="7">
        <v>67.1118530884808</v>
      </c>
      <c r="U335" s="15">
        <f t="shared" si="17"/>
        <v>1</v>
      </c>
    </row>
    <row r="336" spans="1:21" ht="18.75" customHeight="1">
      <c r="A336" s="16">
        <v>344</v>
      </c>
      <c r="B336" s="3">
        <v>29</v>
      </c>
      <c r="C336" s="4" t="s">
        <v>366</v>
      </c>
      <c r="D336" s="9" t="s">
        <v>441</v>
      </c>
      <c r="E336" s="5" t="s">
        <v>338</v>
      </c>
      <c r="F336" s="6">
        <v>281</v>
      </c>
      <c r="G336" s="6">
        <v>1439</v>
      </c>
      <c r="H336" s="6">
        <v>752</v>
      </c>
      <c r="I336" s="6">
        <v>687</v>
      </c>
      <c r="J336" s="17">
        <f t="shared" si="15"/>
        <v>913.563829787234</v>
      </c>
      <c r="K336" s="6">
        <v>264</v>
      </c>
      <c r="L336" s="6">
        <v>132</v>
      </c>
      <c r="M336" s="6">
        <v>132</v>
      </c>
      <c r="N336" s="7">
        <f t="shared" si="16"/>
        <v>18.346073662265461</v>
      </c>
      <c r="O336" s="6">
        <v>915</v>
      </c>
      <c r="P336" s="6">
        <v>524</v>
      </c>
      <c r="Q336" s="6">
        <v>391</v>
      </c>
      <c r="R336" s="7">
        <v>71.877454831107627</v>
      </c>
      <c r="S336" s="7">
        <v>78.915662650602414</v>
      </c>
      <c r="T336" s="7">
        <v>64.203612479474543</v>
      </c>
      <c r="U336" s="15">
        <f t="shared" si="17"/>
        <v>1</v>
      </c>
    </row>
    <row r="337" spans="1:21" ht="18.75" customHeight="1">
      <c r="A337" s="16">
        <v>345</v>
      </c>
      <c r="B337" s="3">
        <v>30</v>
      </c>
      <c r="C337" s="4" t="s">
        <v>367</v>
      </c>
      <c r="D337" s="9" t="s">
        <v>441</v>
      </c>
      <c r="E337" s="5" t="s">
        <v>338</v>
      </c>
      <c r="F337" s="6">
        <v>316</v>
      </c>
      <c r="G337" s="6">
        <v>1657</v>
      </c>
      <c r="H337" s="6">
        <v>856</v>
      </c>
      <c r="I337" s="6">
        <v>801</v>
      </c>
      <c r="J337" s="17">
        <f t="shared" si="15"/>
        <v>935.74766355140184</v>
      </c>
      <c r="K337" s="6">
        <v>417</v>
      </c>
      <c r="L337" s="6">
        <v>222</v>
      </c>
      <c r="M337" s="6">
        <v>195</v>
      </c>
      <c r="N337" s="7">
        <f t="shared" si="16"/>
        <v>25.165962582981294</v>
      </c>
      <c r="O337" s="6">
        <v>1063</v>
      </c>
      <c r="P337" s="6">
        <v>602</v>
      </c>
      <c r="Q337" s="6">
        <v>461</v>
      </c>
      <c r="R337" s="7">
        <v>72.460804362644851</v>
      </c>
      <c r="S337" s="7">
        <v>81.461434370771315</v>
      </c>
      <c r="T337" s="7">
        <v>63.324175824175825</v>
      </c>
      <c r="U337" s="15">
        <f t="shared" si="17"/>
        <v>1</v>
      </c>
    </row>
    <row r="338" spans="1:21" ht="18.75" customHeight="1">
      <c r="A338" s="16">
        <v>346</v>
      </c>
      <c r="B338" s="3">
        <v>31</v>
      </c>
      <c r="C338" s="4" t="s">
        <v>368</v>
      </c>
      <c r="D338" s="9" t="s">
        <v>441</v>
      </c>
      <c r="E338" s="5" t="s">
        <v>338</v>
      </c>
      <c r="F338" s="6">
        <v>397</v>
      </c>
      <c r="G338" s="6">
        <v>2039</v>
      </c>
      <c r="H338" s="6">
        <v>1070</v>
      </c>
      <c r="I338" s="6">
        <v>969</v>
      </c>
      <c r="J338" s="17">
        <f t="shared" si="15"/>
        <v>905.60747663551399</v>
      </c>
      <c r="K338" s="6">
        <v>431</v>
      </c>
      <c r="L338" s="6">
        <v>214</v>
      </c>
      <c r="M338" s="6">
        <v>217</v>
      </c>
      <c r="N338" s="7">
        <f t="shared" si="16"/>
        <v>21.137812653261403</v>
      </c>
      <c r="O338" s="6">
        <v>1250</v>
      </c>
      <c r="P338" s="6">
        <v>695</v>
      </c>
      <c r="Q338" s="6">
        <v>555</v>
      </c>
      <c r="R338" s="7">
        <v>70.541760722347632</v>
      </c>
      <c r="S338" s="7">
        <v>75.461454940282309</v>
      </c>
      <c r="T338" s="7">
        <v>65.217391304347828</v>
      </c>
      <c r="U338" s="15">
        <f t="shared" si="17"/>
        <v>1</v>
      </c>
    </row>
    <row r="339" spans="1:21" ht="18.75" customHeight="1">
      <c r="A339" s="16">
        <v>347</v>
      </c>
      <c r="B339" s="3">
        <v>32</v>
      </c>
      <c r="C339" s="4" t="s">
        <v>369</v>
      </c>
      <c r="D339" s="9" t="s">
        <v>441</v>
      </c>
      <c r="E339" s="5" t="s">
        <v>338</v>
      </c>
      <c r="F339" s="6">
        <v>12</v>
      </c>
      <c r="G339" s="6">
        <v>70</v>
      </c>
      <c r="H339" s="6">
        <v>39</v>
      </c>
      <c r="I339" s="6">
        <v>31</v>
      </c>
      <c r="J339" s="17">
        <f t="shared" si="15"/>
        <v>794.8717948717948</v>
      </c>
      <c r="K339" s="6">
        <v>0</v>
      </c>
      <c r="L339" s="6">
        <v>0</v>
      </c>
      <c r="M339" s="6">
        <v>0</v>
      </c>
      <c r="N339" s="7">
        <f t="shared" si="16"/>
        <v>0</v>
      </c>
      <c r="O339" s="6">
        <v>48</v>
      </c>
      <c r="P339" s="6">
        <v>25</v>
      </c>
      <c r="Q339" s="6">
        <v>23</v>
      </c>
      <c r="R339" s="7">
        <v>77.41935483870968</v>
      </c>
      <c r="S339" s="7">
        <v>75.757575757575751</v>
      </c>
      <c r="T339" s="7">
        <v>79.310344827586206</v>
      </c>
      <c r="U339" s="15">
        <f t="shared" si="17"/>
        <v>3</v>
      </c>
    </row>
    <row r="340" spans="1:21" ht="18.75" customHeight="1">
      <c r="A340" s="16">
        <v>348</v>
      </c>
      <c r="B340" s="3">
        <v>33</v>
      </c>
      <c r="C340" s="4" t="s">
        <v>370</v>
      </c>
      <c r="D340" s="9" t="s">
        <v>441</v>
      </c>
      <c r="E340" s="5" t="s">
        <v>338</v>
      </c>
      <c r="F340" s="6">
        <v>144</v>
      </c>
      <c r="G340" s="6">
        <v>801</v>
      </c>
      <c r="H340" s="6">
        <v>412</v>
      </c>
      <c r="I340" s="6">
        <v>389</v>
      </c>
      <c r="J340" s="17">
        <f t="shared" si="15"/>
        <v>944.17475728155341</v>
      </c>
      <c r="K340" s="6">
        <v>173</v>
      </c>
      <c r="L340" s="6">
        <v>87</v>
      </c>
      <c r="M340" s="6">
        <v>86</v>
      </c>
      <c r="N340" s="7">
        <f t="shared" si="16"/>
        <v>21.598002496878902</v>
      </c>
      <c r="O340" s="6">
        <v>474</v>
      </c>
      <c r="P340" s="6">
        <v>252</v>
      </c>
      <c r="Q340" s="6">
        <v>222</v>
      </c>
      <c r="R340" s="7">
        <v>68.201438848920859</v>
      </c>
      <c r="S340" s="7">
        <v>70.786516853932582</v>
      </c>
      <c r="T340" s="7">
        <v>65.486725663716811</v>
      </c>
      <c r="U340" s="15">
        <f t="shared" si="17"/>
        <v>1</v>
      </c>
    </row>
    <row r="341" spans="1:21" ht="18.75" customHeight="1">
      <c r="A341" s="16">
        <v>349</v>
      </c>
      <c r="B341" s="3">
        <v>34</v>
      </c>
      <c r="C341" s="4" t="s">
        <v>371</v>
      </c>
      <c r="D341" s="9" t="s">
        <v>441</v>
      </c>
      <c r="E341" s="5" t="s">
        <v>338</v>
      </c>
      <c r="F341" s="6">
        <v>296</v>
      </c>
      <c r="G341" s="6">
        <v>1552</v>
      </c>
      <c r="H341" s="6">
        <v>806</v>
      </c>
      <c r="I341" s="6">
        <v>746</v>
      </c>
      <c r="J341" s="17">
        <f t="shared" si="15"/>
        <v>925.55831265508687</v>
      </c>
      <c r="K341" s="6">
        <v>302</v>
      </c>
      <c r="L341" s="6">
        <v>162</v>
      </c>
      <c r="M341" s="6">
        <v>140</v>
      </c>
      <c r="N341" s="7">
        <f t="shared" si="16"/>
        <v>19.458762886597938</v>
      </c>
      <c r="O341" s="6">
        <v>1060</v>
      </c>
      <c r="P341" s="6">
        <v>605</v>
      </c>
      <c r="Q341" s="6">
        <v>455</v>
      </c>
      <c r="R341" s="7">
        <v>76.700434153400863</v>
      </c>
      <c r="S341" s="7">
        <v>84.615384615384613</v>
      </c>
      <c r="T341" s="7">
        <v>68.215892053973022</v>
      </c>
      <c r="U341" s="15">
        <f t="shared" si="17"/>
        <v>1</v>
      </c>
    </row>
    <row r="342" spans="1:21" ht="18.75" customHeight="1">
      <c r="A342" s="16">
        <v>350</v>
      </c>
      <c r="B342" s="3">
        <v>35</v>
      </c>
      <c r="C342" s="4" t="s">
        <v>372</v>
      </c>
      <c r="D342" s="9" t="s">
        <v>441</v>
      </c>
      <c r="E342" s="5" t="s">
        <v>338</v>
      </c>
      <c r="F342" s="6">
        <v>109</v>
      </c>
      <c r="G342" s="6">
        <v>567</v>
      </c>
      <c r="H342" s="6">
        <v>315</v>
      </c>
      <c r="I342" s="6">
        <v>252</v>
      </c>
      <c r="J342" s="17">
        <f t="shared" si="15"/>
        <v>800</v>
      </c>
      <c r="K342" s="6">
        <v>72</v>
      </c>
      <c r="L342" s="6">
        <v>47</v>
      </c>
      <c r="M342" s="6">
        <v>25</v>
      </c>
      <c r="N342" s="7">
        <f t="shared" si="16"/>
        <v>12.698412698412698</v>
      </c>
      <c r="O342" s="6">
        <v>428</v>
      </c>
      <c r="P342" s="6">
        <v>255</v>
      </c>
      <c r="Q342" s="6">
        <v>173</v>
      </c>
      <c r="R342" s="7">
        <v>83.268482490272376</v>
      </c>
      <c r="S342" s="7">
        <v>91.397849462365585</v>
      </c>
      <c r="T342" s="7">
        <v>73.617021276595736</v>
      </c>
      <c r="U342" s="15">
        <f t="shared" si="17"/>
        <v>3</v>
      </c>
    </row>
    <row r="343" spans="1:21" ht="18.75" customHeight="1">
      <c r="A343" s="16">
        <v>351</v>
      </c>
      <c r="B343" s="3">
        <v>36</v>
      </c>
      <c r="C343" s="4" t="s">
        <v>373</v>
      </c>
      <c r="D343" s="9" t="s">
        <v>441</v>
      </c>
      <c r="E343" s="5" t="s">
        <v>338</v>
      </c>
      <c r="F343" s="6">
        <v>252</v>
      </c>
      <c r="G343" s="6">
        <v>1284</v>
      </c>
      <c r="H343" s="6">
        <v>660</v>
      </c>
      <c r="I343" s="6">
        <v>624</v>
      </c>
      <c r="J343" s="17">
        <f t="shared" si="15"/>
        <v>945.45454545454538</v>
      </c>
      <c r="K343" s="6">
        <v>943</v>
      </c>
      <c r="L343" s="6">
        <v>479</v>
      </c>
      <c r="M343" s="6">
        <v>464</v>
      </c>
      <c r="N343" s="7">
        <f t="shared" si="16"/>
        <v>73.442367601246104</v>
      </c>
      <c r="O343" s="6">
        <v>752</v>
      </c>
      <c r="P343" s="6">
        <v>442</v>
      </c>
      <c r="Q343" s="6">
        <v>310</v>
      </c>
      <c r="R343" s="7">
        <v>69.694161260426327</v>
      </c>
      <c r="S343" s="7">
        <v>79.35368043087972</v>
      </c>
      <c r="T343" s="7">
        <v>59.38697318007663</v>
      </c>
      <c r="U343" s="15">
        <f t="shared" si="17"/>
        <v>1</v>
      </c>
    </row>
    <row r="344" spans="1:21" ht="18.75" customHeight="1">
      <c r="A344" s="16">
        <v>352</v>
      </c>
      <c r="B344" s="3">
        <v>37</v>
      </c>
      <c r="C344" s="4" t="s">
        <v>374</v>
      </c>
      <c r="D344" s="9" t="s">
        <v>441</v>
      </c>
      <c r="E344" s="5" t="s">
        <v>338</v>
      </c>
      <c r="F344" s="6">
        <v>667</v>
      </c>
      <c r="G344" s="6">
        <v>3762</v>
      </c>
      <c r="H344" s="6">
        <v>1973</v>
      </c>
      <c r="I344" s="6">
        <v>1789</v>
      </c>
      <c r="J344" s="17">
        <f t="shared" si="15"/>
        <v>906.74100354789653</v>
      </c>
      <c r="K344" s="6">
        <v>353</v>
      </c>
      <c r="L344" s="6">
        <v>180</v>
      </c>
      <c r="M344" s="6">
        <v>173</v>
      </c>
      <c r="N344" s="7">
        <f t="shared" si="16"/>
        <v>9.3833067517278046</v>
      </c>
      <c r="O344" s="6">
        <v>2504</v>
      </c>
      <c r="P344" s="6">
        <v>1441</v>
      </c>
      <c r="Q344" s="6">
        <v>1063</v>
      </c>
      <c r="R344" s="7">
        <v>75.855801272341722</v>
      </c>
      <c r="S344" s="7">
        <v>84.417106033977745</v>
      </c>
      <c r="T344" s="7">
        <v>66.687578419071514</v>
      </c>
      <c r="U344" s="15">
        <f t="shared" si="17"/>
        <v>1</v>
      </c>
    </row>
    <row r="345" spans="1:21" ht="18.75" customHeight="1">
      <c r="A345" s="16">
        <v>353</v>
      </c>
      <c r="B345" s="3">
        <v>38</v>
      </c>
      <c r="C345" s="4" t="s">
        <v>375</v>
      </c>
      <c r="D345" s="9" t="s">
        <v>441</v>
      </c>
      <c r="E345" s="5" t="s">
        <v>338</v>
      </c>
      <c r="F345" s="6">
        <v>105</v>
      </c>
      <c r="G345" s="6">
        <v>547</v>
      </c>
      <c r="H345" s="6">
        <v>291</v>
      </c>
      <c r="I345" s="6">
        <v>256</v>
      </c>
      <c r="J345" s="17">
        <f t="shared" si="15"/>
        <v>879.72508591065287</v>
      </c>
      <c r="K345" s="6">
        <v>40</v>
      </c>
      <c r="L345" s="6">
        <v>20</v>
      </c>
      <c r="M345" s="6">
        <v>20</v>
      </c>
      <c r="N345" s="7">
        <f t="shared" si="16"/>
        <v>7.3126142595978063</v>
      </c>
      <c r="O345" s="6">
        <v>340</v>
      </c>
      <c r="P345" s="6">
        <v>198</v>
      </c>
      <c r="Q345" s="6">
        <v>142</v>
      </c>
      <c r="R345" s="7">
        <v>68.965517241379317</v>
      </c>
      <c r="S345" s="7">
        <v>76.447876447876453</v>
      </c>
      <c r="T345" s="7">
        <v>60.683760683760681</v>
      </c>
      <c r="U345" s="15">
        <f t="shared" si="17"/>
        <v>2</v>
      </c>
    </row>
    <row r="346" spans="1:21" ht="18.75" customHeight="1">
      <c r="A346" s="16">
        <v>354</v>
      </c>
      <c r="B346" s="3">
        <v>39</v>
      </c>
      <c r="C346" s="4" t="s">
        <v>376</v>
      </c>
      <c r="D346" s="9" t="s">
        <v>441</v>
      </c>
      <c r="E346" s="5" t="s">
        <v>338</v>
      </c>
      <c r="F346" s="6">
        <v>114</v>
      </c>
      <c r="G346" s="6">
        <v>645</v>
      </c>
      <c r="H346" s="6">
        <v>345</v>
      </c>
      <c r="I346" s="6">
        <v>300</v>
      </c>
      <c r="J346" s="17">
        <f t="shared" si="15"/>
        <v>869.56521739130437</v>
      </c>
      <c r="K346" s="6">
        <v>25</v>
      </c>
      <c r="L346" s="6">
        <v>11</v>
      </c>
      <c r="M346" s="6">
        <v>14</v>
      </c>
      <c r="N346" s="7">
        <f t="shared" si="16"/>
        <v>3.8759689922480618</v>
      </c>
      <c r="O346" s="6">
        <v>467</v>
      </c>
      <c r="P346" s="6">
        <v>270</v>
      </c>
      <c r="Q346" s="6">
        <v>197</v>
      </c>
      <c r="R346" s="7">
        <v>77.446102819237154</v>
      </c>
      <c r="S346" s="7">
        <v>85.714285714285708</v>
      </c>
      <c r="T346" s="7">
        <v>68.402777777777786</v>
      </c>
      <c r="U346" s="15">
        <f t="shared" si="17"/>
        <v>2</v>
      </c>
    </row>
    <row r="347" spans="1:21" ht="18.75" customHeight="1">
      <c r="A347" s="16">
        <v>355</v>
      </c>
      <c r="B347" s="3">
        <v>40</v>
      </c>
      <c r="C347" s="4" t="s">
        <v>377</v>
      </c>
      <c r="D347" s="9" t="s">
        <v>441</v>
      </c>
      <c r="E347" s="5" t="s">
        <v>338</v>
      </c>
      <c r="F347" s="6">
        <v>81</v>
      </c>
      <c r="G347" s="6">
        <v>442</v>
      </c>
      <c r="H347" s="6">
        <v>230</v>
      </c>
      <c r="I347" s="6">
        <v>212</v>
      </c>
      <c r="J347" s="17">
        <f t="shared" si="15"/>
        <v>921.73913043478262</v>
      </c>
      <c r="K347" s="6">
        <v>193</v>
      </c>
      <c r="L347" s="6">
        <v>98</v>
      </c>
      <c r="M347" s="6">
        <v>95</v>
      </c>
      <c r="N347" s="7">
        <f t="shared" si="16"/>
        <v>43.665158371040725</v>
      </c>
      <c r="O347" s="6">
        <v>268</v>
      </c>
      <c r="P347" s="6">
        <v>153</v>
      </c>
      <c r="Q347" s="6">
        <v>115</v>
      </c>
      <c r="R347" s="7">
        <v>71.087533156498665</v>
      </c>
      <c r="S347" s="7">
        <v>78.865979381443296</v>
      </c>
      <c r="T347" s="7">
        <v>62.841530054644814</v>
      </c>
      <c r="U347" s="15">
        <f t="shared" si="17"/>
        <v>1</v>
      </c>
    </row>
    <row r="348" spans="1:21" ht="18.75" customHeight="1">
      <c r="A348" s="16">
        <v>356</v>
      </c>
      <c r="B348" s="3">
        <v>41</v>
      </c>
      <c r="C348" s="4" t="s">
        <v>378</v>
      </c>
      <c r="D348" s="9" t="s">
        <v>441</v>
      </c>
      <c r="E348" s="5" t="s">
        <v>338</v>
      </c>
      <c r="F348" s="6">
        <v>545</v>
      </c>
      <c r="G348" s="6">
        <v>2832</v>
      </c>
      <c r="H348" s="6">
        <v>1503</v>
      </c>
      <c r="I348" s="6">
        <v>1329</v>
      </c>
      <c r="J348" s="17">
        <f t="shared" si="15"/>
        <v>884.23153692614778</v>
      </c>
      <c r="K348" s="6">
        <v>779</v>
      </c>
      <c r="L348" s="6">
        <v>411</v>
      </c>
      <c r="M348" s="6">
        <v>368</v>
      </c>
      <c r="N348" s="7">
        <f t="shared" si="16"/>
        <v>27.507062146892657</v>
      </c>
      <c r="O348" s="6">
        <v>1748</v>
      </c>
      <c r="P348" s="6">
        <v>965</v>
      </c>
      <c r="Q348" s="6">
        <v>783</v>
      </c>
      <c r="R348" s="7">
        <v>70.62626262626263</v>
      </c>
      <c r="S348" s="7">
        <v>74.574961360123652</v>
      </c>
      <c r="T348" s="7">
        <v>66.299745977984756</v>
      </c>
      <c r="U348" s="15">
        <f t="shared" si="17"/>
        <v>2</v>
      </c>
    </row>
    <row r="349" spans="1:21" ht="18.75" customHeight="1">
      <c r="A349" s="16">
        <v>357</v>
      </c>
      <c r="B349" s="3">
        <v>42</v>
      </c>
      <c r="C349" s="4" t="s">
        <v>379</v>
      </c>
      <c r="D349" s="9" t="s">
        <v>441</v>
      </c>
      <c r="E349" s="5" t="s">
        <v>338</v>
      </c>
      <c r="F349" s="6">
        <v>239</v>
      </c>
      <c r="G349" s="6">
        <v>1254</v>
      </c>
      <c r="H349" s="6">
        <v>692</v>
      </c>
      <c r="I349" s="6">
        <v>562</v>
      </c>
      <c r="J349" s="17">
        <f t="shared" si="15"/>
        <v>812.13872832369941</v>
      </c>
      <c r="K349" s="6">
        <v>363</v>
      </c>
      <c r="L349" s="6">
        <v>207</v>
      </c>
      <c r="M349" s="6">
        <v>156</v>
      </c>
      <c r="N349" s="7">
        <f t="shared" si="16"/>
        <v>28.947368421052634</v>
      </c>
      <c r="O349" s="6">
        <v>743</v>
      </c>
      <c r="P349" s="6">
        <v>464</v>
      </c>
      <c r="Q349" s="6">
        <v>279</v>
      </c>
      <c r="R349" s="7">
        <v>67.23981900452489</v>
      </c>
      <c r="S349" s="7">
        <v>76.567656765676574</v>
      </c>
      <c r="T349" s="7">
        <v>55.91182364729459</v>
      </c>
      <c r="U349" s="15">
        <f t="shared" si="17"/>
        <v>2</v>
      </c>
    </row>
    <row r="350" spans="1:21" ht="18.75" customHeight="1">
      <c r="A350" s="16">
        <v>358</v>
      </c>
      <c r="B350" s="3">
        <v>43</v>
      </c>
      <c r="C350" s="4" t="s">
        <v>380</v>
      </c>
      <c r="D350" s="9" t="s">
        <v>441</v>
      </c>
      <c r="E350" s="5" t="s">
        <v>338</v>
      </c>
      <c r="F350" s="6">
        <v>158</v>
      </c>
      <c r="G350" s="6">
        <v>864</v>
      </c>
      <c r="H350" s="6">
        <v>447</v>
      </c>
      <c r="I350" s="6">
        <v>417</v>
      </c>
      <c r="J350" s="17">
        <f t="shared" si="15"/>
        <v>932.88590604026842</v>
      </c>
      <c r="K350" s="6">
        <v>210</v>
      </c>
      <c r="L350" s="6">
        <v>100</v>
      </c>
      <c r="M350" s="6">
        <v>110</v>
      </c>
      <c r="N350" s="7">
        <f t="shared" si="16"/>
        <v>24.305555555555554</v>
      </c>
      <c r="O350" s="6">
        <v>540</v>
      </c>
      <c r="P350" s="6">
        <v>292</v>
      </c>
      <c r="Q350" s="6">
        <v>248</v>
      </c>
      <c r="R350" s="7">
        <v>71.618037135278513</v>
      </c>
      <c r="S350" s="7">
        <v>75.647668393782382</v>
      </c>
      <c r="T350" s="7">
        <v>67.391304347826093</v>
      </c>
      <c r="U350" s="15">
        <f t="shared" si="17"/>
        <v>1</v>
      </c>
    </row>
    <row r="351" spans="1:21" ht="18.75" customHeight="1">
      <c r="A351" s="16">
        <v>359</v>
      </c>
      <c r="B351" s="3">
        <v>44</v>
      </c>
      <c r="C351" s="4" t="s">
        <v>381</v>
      </c>
      <c r="D351" s="9" t="s">
        <v>441</v>
      </c>
      <c r="E351" s="5" t="s">
        <v>338</v>
      </c>
      <c r="F351" s="6">
        <v>156</v>
      </c>
      <c r="G351" s="6">
        <v>833</v>
      </c>
      <c r="H351" s="6">
        <v>444</v>
      </c>
      <c r="I351" s="6">
        <v>389</v>
      </c>
      <c r="J351" s="17">
        <f t="shared" si="15"/>
        <v>876.12612612612622</v>
      </c>
      <c r="K351" s="6">
        <v>392</v>
      </c>
      <c r="L351" s="6">
        <v>223</v>
      </c>
      <c r="M351" s="6">
        <v>169</v>
      </c>
      <c r="N351" s="7">
        <f t="shared" si="16"/>
        <v>47.058823529411761</v>
      </c>
      <c r="O351" s="6">
        <v>526</v>
      </c>
      <c r="P351" s="6">
        <v>305</v>
      </c>
      <c r="Q351" s="6">
        <v>221</v>
      </c>
      <c r="R351" s="7">
        <v>72.352132049518573</v>
      </c>
      <c r="S351" s="7">
        <v>79.63446475195822</v>
      </c>
      <c r="T351" s="7">
        <v>64.244186046511629</v>
      </c>
      <c r="U351" s="15">
        <f t="shared" si="17"/>
        <v>2</v>
      </c>
    </row>
    <row r="352" spans="1:21" ht="18.75" customHeight="1">
      <c r="A352" s="16">
        <v>360</v>
      </c>
      <c r="B352" s="3">
        <v>45</v>
      </c>
      <c r="C352" s="4" t="s">
        <v>382</v>
      </c>
      <c r="D352" s="9" t="s">
        <v>441</v>
      </c>
      <c r="E352" s="5" t="s">
        <v>338</v>
      </c>
      <c r="F352" s="6">
        <v>216</v>
      </c>
      <c r="G352" s="6">
        <v>1227</v>
      </c>
      <c r="H352" s="6">
        <v>648</v>
      </c>
      <c r="I352" s="6">
        <v>579</v>
      </c>
      <c r="J352" s="17">
        <f t="shared" si="15"/>
        <v>893.51851851851848</v>
      </c>
      <c r="K352" s="6">
        <v>357</v>
      </c>
      <c r="L352" s="6">
        <v>195</v>
      </c>
      <c r="M352" s="6">
        <v>162</v>
      </c>
      <c r="N352" s="7">
        <f t="shared" si="16"/>
        <v>29.095354523227385</v>
      </c>
      <c r="O352" s="6">
        <v>805</v>
      </c>
      <c r="P352" s="6">
        <v>490</v>
      </c>
      <c r="Q352" s="6">
        <v>315</v>
      </c>
      <c r="R352" s="7">
        <v>74.814126394052053</v>
      </c>
      <c r="S352" s="7">
        <v>85.814360770577935</v>
      </c>
      <c r="T352" s="7">
        <v>62.376237623762378</v>
      </c>
      <c r="U352" s="15">
        <f t="shared" si="17"/>
        <v>2</v>
      </c>
    </row>
    <row r="353" spans="1:21" ht="18.75" customHeight="1">
      <c r="A353" s="16">
        <v>361</v>
      </c>
      <c r="B353" s="3">
        <v>46</v>
      </c>
      <c r="C353" s="4" t="s">
        <v>383</v>
      </c>
      <c r="D353" s="9" t="s">
        <v>441</v>
      </c>
      <c r="E353" s="5" t="s">
        <v>338</v>
      </c>
      <c r="F353" s="6">
        <v>306</v>
      </c>
      <c r="G353" s="6">
        <v>1464</v>
      </c>
      <c r="H353" s="6">
        <v>785</v>
      </c>
      <c r="I353" s="6">
        <v>679</v>
      </c>
      <c r="J353" s="17">
        <f t="shared" si="15"/>
        <v>864.96815286624212</v>
      </c>
      <c r="K353" s="6">
        <v>351</v>
      </c>
      <c r="L353" s="6">
        <v>184</v>
      </c>
      <c r="M353" s="6">
        <v>167</v>
      </c>
      <c r="N353" s="7">
        <f t="shared" si="16"/>
        <v>23.975409836065573</v>
      </c>
      <c r="O353" s="6">
        <v>1013</v>
      </c>
      <c r="P353" s="6">
        <v>584</v>
      </c>
      <c r="Q353" s="6">
        <v>429</v>
      </c>
      <c r="R353" s="7">
        <v>77.21036585365853</v>
      </c>
      <c r="S353" s="7">
        <v>83.908045977011497</v>
      </c>
      <c r="T353" s="7">
        <v>69.642857142857139</v>
      </c>
      <c r="U353" s="15">
        <f t="shared" si="17"/>
        <v>2</v>
      </c>
    </row>
    <row r="354" spans="1:21" ht="18.75" customHeight="1">
      <c r="A354" s="16">
        <v>362</v>
      </c>
      <c r="B354" s="3">
        <v>47</v>
      </c>
      <c r="C354" s="4" t="s">
        <v>384</v>
      </c>
      <c r="D354" s="9" t="s">
        <v>441</v>
      </c>
      <c r="E354" s="5" t="s">
        <v>338</v>
      </c>
      <c r="F354" s="6">
        <v>846</v>
      </c>
      <c r="G354" s="6">
        <v>4333</v>
      </c>
      <c r="H354" s="6">
        <v>2318</v>
      </c>
      <c r="I354" s="6">
        <v>2015</v>
      </c>
      <c r="J354" s="17">
        <f t="shared" si="15"/>
        <v>869.28386540120789</v>
      </c>
      <c r="K354" s="6">
        <v>1386</v>
      </c>
      <c r="L354" s="6">
        <v>754</v>
      </c>
      <c r="M354" s="6">
        <v>632</v>
      </c>
      <c r="N354" s="7">
        <f t="shared" si="16"/>
        <v>31.987075928917609</v>
      </c>
      <c r="O354" s="6">
        <v>2561</v>
      </c>
      <c r="P354" s="6">
        <v>1454</v>
      </c>
      <c r="Q354" s="6">
        <v>1107</v>
      </c>
      <c r="R354" s="7">
        <v>67.805136351601803</v>
      </c>
      <c r="S354" s="7">
        <v>72.627372627372637</v>
      </c>
      <c r="T354" s="7">
        <v>62.366197183098592</v>
      </c>
      <c r="U354" s="15">
        <f t="shared" si="17"/>
        <v>2</v>
      </c>
    </row>
    <row r="355" spans="1:21" ht="18.75" customHeight="1">
      <c r="A355" s="16">
        <v>363</v>
      </c>
      <c r="B355" s="3">
        <v>48</v>
      </c>
      <c r="C355" s="4" t="s">
        <v>385</v>
      </c>
      <c r="D355" s="9" t="s">
        <v>441</v>
      </c>
      <c r="E355" s="5" t="s">
        <v>338</v>
      </c>
      <c r="F355" s="6">
        <v>1193</v>
      </c>
      <c r="G355" s="6">
        <v>6466</v>
      </c>
      <c r="H355" s="6">
        <v>3420</v>
      </c>
      <c r="I355" s="6">
        <v>3046</v>
      </c>
      <c r="J355" s="17">
        <f t="shared" si="15"/>
        <v>890.64327485380113</v>
      </c>
      <c r="K355" s="6">
        <v>985</v>
      </c>
      <c r="L355" s="6">
        <v>533</v>
      </c>
      <c r="M355" s="6">
        <v>452</v>
      </c>
      <c r="N355" s="7">
        <f t="shared" si="16"/>
        <v>15.233529229817508</v>
      </c>
      <c r="O355" s="6">
        <v>4169</v>
      </c>
      <c r="P355" s="6">
        <v>2457</v>
      </c>
      <c r="Q355" s="6">
        <v>1712</v>
      </c>
      <c r="R355" s="7">
        <v>73.012259194395796</v>
      </c>
      <c r="S355" s="7">
        <v>82.228915662650607</v>
      </c>
      <c r="T355" s="7">
        <v>62.894930198383534</v>
      </c>
      <c r="U355" s="15">
        <f t="shared" si="17"/>
        <v>2</v>
      </c>
    </row>
    <row r="356" spans="1:21" ht="18.75" customHeight="1">
      <c r="A356" s="16">
        <v>364</v>
      </c>
      <c r="B356" s="3">
        <v>1</v>
      </c>
      <c r="C356" s="4" t="s">
        <v>386</v>
      </c>
      <c r="D356" s="9" t="s">
        <v>441</v>
      </c>
      <c r="E356" s="5" t="s">
        <v>387</v>
      </c>
      <c r="F356" s="6">
        <v>199</v>
      </c>
      <c r="G356" s="6">
        <v>1066</v>
      </c>
      <c r="H356" s="6">
        <v>561</v>
      </c>
      <c r="I356" s="6">
        <v>505</v>
      </c>
      <c r="J356" s="17">
        <f t="shared" si="15"/>
        <v>900.17825311942954</v>
      </c>
      <c r="K356" s="6">
        <v>130</v>
      </c>
      <c r="L356" s="6">
        <v>66</v>
      </c>
      <c r="M356" s="6">
        <v>64</v>
      </c>
      <c r="N356" s="7">
        <f t="shared" si="16"/>
        <v>12.195121951219512</v>
      </c>
      <c r="O356" s="6">
        <v>679</v>
      </c>
      <c r="P356" s="6">
        <v>393</v>
      </c>
      <c r="Q356" s="6">
        <v>286</v>
      </c>
      <c r="R356" s="7">
        <v>73.804347826086953</v>
      </c>
      <c r="S356" s="7">
        <v>81.704781704781709</v>
      </c>
      <c r="T356" s="7">
        <v>65.148063781321184</v>
      </c>
      <c r="U356" s="15">
        <f t="shared" si="17"/>
        <v>1</v>
      </c>
    </row>
    <row r="357" spans="1:21" ht="18.75" customHeight="1">
      <c r="A357" s="16">
        <v>365</v>
      </c>
      <c r="B357" s="3">
        <v>2</v>
      </c>
      <c r="C357" s="4" t="s">
        <v>388</v>
      </c>
      <c r="D357" s="9" t="s">
        <v>441</v>
      </c>
      <c r="E357" s="5" t="s">
        <v>387</v>
      </c>
      <c r="F357" s="6">
        <v>392</v>
      </c>
      <c r="G357" s="6">
        <v>1982</v>
      </c>
      <c r="H357" s="6">
        <v>1061</v>
      </c>
      <c r="I357" s="6">
        <v>921</v>
      </c>
      <c r="J357" s="17">
        <f t="shared" si="15"/>
        <v>868.04901036757781</v>
      </c>
      <c r="K357" s="6">
        <v>637</v>
      </c>
      <c r="L357" s="6">
        <v>334</v>
      </c>
      <c r="M357" s="6">
        <v>303</v>
      </c>
      <c r="N357" s="7">
        <f t="shared" si="16"/>
        <v>32.139253279515643</v>
      </c>
      <c r="O357" s="6">
        <v>1153</v>
      </c>
      <c r="P357" s="6">
        <v>694</v>
      </c>
      <c r="Q357" s="6">
        <v>459</v>
      </c>
      <c r="R357" s="7">
        <v>69.4578313253012</v>
      </c>
      <c r="S357" s="7">
        <v>79.223744292237441</v>
      </c>
      <c r="T357" s="7">
        <v>58.545918367346935</v>
      </c>
      <c r="U357" s="15">
        <f t="shared" si="17"/>
        <v>2</v>
      </c>
    </row>
    <row r="358" spans="1:21" ht="18.75" customHeight="1">
      <c r="A358" s="16">
        <v>366</v>
      </c>
      <c r="B358" s="3">
        <v>3</v>
      </c>
      <c r="C358" s="4" t="s">
        <v>389</v>
      </c>
      <c r="D358" s="9" t="s">
        <v>441</v>
      </c>
      <c r="E358" s="5" t="s">
        <v>387</v>
      </c>
      <c r="F358" s="6">
        <v>73</v>
      </c>
      <c r="G358" s="6">
        <v>436</v>
      </c>
      <c r="H358" s="6">
        <v>221</v>
      </c>
      <c r="I358" s="6">
        <v>215</v>
      </c>
      <c r="J358" s="17">
        <f t="shared" si="15"/>
        <v>972.85067873303171</v>
      </c>
      <c r="K358" s="6">
        <v>105</v>
      </c>
      <c r="L358" s="6">
        <v>53</v>
      </c>
      <c r="M358" s="6">
        <v>52</v>
      </c>
      <c r="N358" s="7">
        <f t="shared" si="16"/>
        <v>24.082568807339449</v>
      </c>
      <c r="O358" s="6">
        <v>278</v>
      </c>
      <c r="P358" s="6">
        <v>150</v>
      </c>
      <c r="Q358" s="6">
        <v>128</v>
      </c>
      <c r="R358" s="7">
        <v>73.936170212765958</v>
      </c>
      <c r="S358" s="7">
        <v>78.94736842105263</v>
      </c>
      <c r="T358" s="7">
        <v>68.817204301075279</v>
      </c>
      <c r="U358" s="15">
        <f t="shared" si="17"/>
        <v>1</v>
      </c>
    </row>
    <row r="359" spans="1:21" ht="18.75" customHeight="1">
      <c r="A359" s="16">
        <v>367</v>
      </c>
      <c r="B359" s="3">
        <v>4</v>
      </c>
      <c r="C359" s="4" t="s">
        <v>390</v>
      </c>
      <c r="D359" s="9" t="s">
        <v>441</v>
      </c>
      <c r="E359" s="5" t="s">
        <v>387</v>
      </c>
      <c r="F359" s="6">
        <v>317</v>
      </c>
      <c r="G359" s="6">
        <v>1670</v>
      </c>
      <c r="H359" s="6">
        <v>852</v>
      </c>
      <c r="I359" s="6">
        <v>818</v>
      </c>
      <c r="J359" s="17">
        <f t="shared" si="15"/>
        <v>960.09389671361498</v>
      </c>
      <c r="K359" s="6">
        <v>403</v>
      </c>
      <c r="L359" s="6">
        <v>206</v>
      </c>
      <c r="M359" s="6">
        <v>197</v>
      </c>
      <c r="N359" s="7">
        <f t="shared" si="16"/>
        <v>24.131736526946106</v>
      </c>
      <c r="O359" s="6">
        <v>1045</v>
      </c>
      <c r="P359" s="6">
        <v>607</v>
      </c>
      <c r="Q359" s="6">
        <v>438</v>
      </c>
      <c r="R359" s="7">
        <v>72.118702553485164</v>
      </c>
      <c r="S359" s="7">
        <v>81.25836680053547</v>
      </c>
      <c r="T359" s="7">
        <v>62.393162393162392</v>
      </c>
      <c r="U359" s="15">
        <f t="shared" si="17"/>
        <v>1</v>
      </c>
    </row>
    <row r="360" spans="1:21" ht="18.75" customHeight="1">
      <c r="A360" s="16">
        <v>368</v>
      </c>
      <c r="B360" s="3">
        <v>5</v>
      </c>
      <c r="C360" s="4" t="s">
        <v>391</v>
      </c>
      <c r="D360" s="9" t="s">
        <v>441</v>
      </c>
      <c r="E360" s="5" t="s">
        <v>387</v>
      </c>
      <c r="F360" s="6">
        <v>9</v>
      </c>
      <c r="G360" s="6">
        <v>19</v>
      </c>
      <c r="H360" s="6">
        <v>14</v>
      </c>
      <c r="I360" s="6">
        <v>5</v>
      </c>
      <c r="J360" s="17">
        <f t="shared" si="15"/>
        <v>357.14285714285717</v>
      </c>
      <c r="K360" s="6">
        <v>0</v>
      </c>
      <c r="L360" s="6">
        <v>0</v>
      </c>
      <c r="M360" s="6">
        <v>0</v>
      </c>
      <c r="N360" s="7">
        <f t="shared" si="16"/>
        <v>0</v>
      </c>
      <c r="O360" s="6">
        <v>9</v>
      </c>
      <c r="P360" s="6">
        <v>7</v>
      </c>
      <c r="Q360" s="6">
        <v>2</v>
      </c>
      <c r="R360" s="7">
        <v>56.25</v>
      </c>
      <c r="S360" s="7">
        <v>58.333333333333336</v>
      </c>
      <c r="T360" s="7">
        <v>50</v>
      </c>
      <c r="U360" s="15">
        <f t="shared" si="17"/>
        <v>0</v>
      </c>
    </row>
    <row r="361" spans="1:21" ht="18.75" customHeight="1">
      <c r="A361" s="16">
        <v>369</v>
      </c>
      <c r="B361" s="3">
        <v>6</v>
      </c>
      <c r="C361" s="4" t="s">
        <v>392</v>
      </c>
      <c r="D361" s="9" t="s">
        <v>441</v>
      </c>
      <c r="E361" s="5" t="s">
        <v>387</v>
      </c>
      <c r="F361" s="6">
        <v>379</v>
      </c>
      <c r="G361" s="6">
        <v>1994</v>
      </c>
      <c r="H361" s="6">
        <v>1037</v>
      </c>
      <c r="I361" s="6">
        <v>957</v>
      </c>
      <c r="J361" s="17">
        <f t="shared" si="15"/>
        <v>922.85438765670199</v>
      </c>
      <c r="K361" s="6">
        <v>273</v>
      </c>
      <c r="L361" s="6">
        <v>143</v>
      </c>
      <c r="M361" s="6">
        <v>130</v>
      </c>
      <c r="N361" s="7">
        <f t="shared" si="16"/>
        <v>13.691073219658978</v>
      </c>
      <c r="O361" s="6">
        <v>1356</v>
      </c>
      <c r="P361" s="6">
        <v>775</v>
      </c>
      <c r="Q361" s="6">
        <v>581</v>
      </c>
      <c r="R361" s="7">
        <v>77.796901893287441</v>
      </c>
      <c r="S361" s="7">
        <v>85.825027685492799</v>
      </c>
      <c r="T361" s="7">
        <v>69.166666666666671</v>
      </c>
      <c r="U361" s="15">
        <f t="shared" si="17"/>
        <v>1</v>
      </c>
    </row>
    <row r="362" spans="1:21" ht="18.75" customHeight="1">
      <c r="A362" s="16">
        <v>370</v>
      </c>
      <c r="B362" s="3">
        <v>7</v>
      </c>
      <c r="C362" s="4" t="s">
        <v>393</v>
      </c>
      <c r="D362" s="9" t="s">
        <v>441</v>
      </c>
      <c r="E362" s="5" t="s">
        <v>387</v>
      </c>
      <c r="F362" s="6">
        <v>363</v>
      </c>
      <c r="G362" s="6">
        <v>2082</v>
      </c>
      <c r="H362" s="6">
        <v>1074</v>
      </c>
      <c r="I362" s="6">
        <v>1008</v>
      </c>
      <c r="J362" s="17">
        <f t="shared" si="15"/>
        <v>938.54748603351959</v>
      </c>
      <c r="K362" s="6">
        <v>205</v>
      </c>
      <c r="L362" s="6">
        <v>109</v>
      </c>
      <c r="M362" s="6">
        <v>96</v>
      </c>
      <c r="N362" s="7">
        <f t="shared" si="16"/>
        <v>9.8463016330451492</v>
      </c>
      <c r="O362" s="6">
        <v>1489</v>
      </c>
      <c r="P362" s="6">
        <v>830</v>
      </c>
      <c r="Q362" s="6">
        <v>659</v>
      </c>
      <c r="R362" s="7">
        <v>81.410606889010381</v>
      </c>
      <c r="S362" s="7">
        <v>88.770053475935825</v>
      </c>
      <c r="T362" s="7">
        <v>73.713646532438474</v>
      </c>
      <c r="U362" s="15">
        <f t="shared" si="17"/>
        <v>1</v>
      </c>
    </row>
    <row r="363" spans="1:21" ht="18.75" customHeight="1">
      <c r="A363" s="16">
        <v>371</v>
      </c>
      <c r="B363" s="3">
        <v>8</v>
      </c>
      <c r="C363" s="4" t="s">
        <v>394</v>
      </c>
      <c r="D363" s="9" t="s">
        <v>441</v>
      </c>
      <c r="E363" s="5" t="s">
        <v>387</v>
      </c>
      <c r="F363" s="6">
        <v>1043</v>
      </c>
      <c r="G363" s="6">
        <v>5370</v>
      </c>
      <c r="H363" s="6">
        <v>2972</v>
      </c>
      <c r="I363" s="6">
        <v>2398</v>
      </c>
      <c r="J363" s="17">
        <f t="shared" si="15"/>
        <v>806.86406460296098</v>
      </c>
      <c r="K363" s="6">
        <v>624</v>
      </c>
      <c r="L363" s="6">
        <v>329</v>
      </c>
      <c r="M363" s="6">
        <v>295</v>
      </c>
      <c r="N363" s="7">
        <f t="shared" si="16"/>
        <v>11.620111731843576</v>
      </c>
      <c r="O363" s="6">
        <v>3353</v>
      </c>
      <c r="P363" s="6">
        <v>1947</v>
      </c>
      <c r="Q363" s="6">
        <v>1406</v>
      </c>
      <c r="R363" s="7">
        <v>71.691255078041479</v>
      </c>
      <c r="S363" s="7">
        <v>75.290023201856144</v>
      </c>
      <c r="T363" s="7">
        <v>67.240554758488756</v>
      </c>
      <c r="U363" s="15">
        <f t="shared" si="17"/>
        <v>2</v>
      </c>
    </row>
    <row r="364" spans="1:21" ht="18.75" customHeight="1">
      <c r="A364" s="16">
        <v>372</v>
      </c>
      <c r="B364" s="3">
        <v>9</v>
      </c>
      <c r="C364" s="4" t="s">
        <v>395</v>
      </c>
      <c r="D364" s="9" t="s">
        <v>441</v>
      </c>
      <c r="E364" s="5" t="s">
        <v>387</v>
      </c>
      <c r="F364" s="6">
        <v>180</v>
      </c>
      <c r="G364" s="6">
        <v>885</v>
      </c>
      <c r="H364" s="6">
        <v>454</v>
      </c>
      <c r="I364" s="6">
        <v>431</v>
      </c>
      <c r="J364" s="17">
        <f t="shared" si="15"/>
        <v>949.33920704845821</v>
      </c>
      <c r="K364" s="6">
        <v>233</v>
      </c>
      <c r="L364" s="6">
        <v>121</v>
      </c>
      <c r="M364" s="6">
        <v>112</v>
      </c>
      <c r="N364" s="7">
        <f t="shared" si="16"/>
        <v>26.327683615819208</v>
      </c>
      <c r="O364" s="6">
        <v>592</v>
      </c>
      <c r="P364" s="6">
        <v>332</v>
      </c>
      <c r="Q364" s="6">
        <v>260</v>
      </c>
      <c r="R364" s="7">
        <v>77.486910994764401</v>
      </c>
      <c r="S364" s="7">
        <v>84.693877551020407</v>
      </c>
      <c r="T364" s="7">
        <v>69.892473118279568</v>
      </c>
      <c r="U364" s="15">
        <f t="shared" si="17"/>
        <v>1</v>
      </c>
    </row>
    <row r="365" spans="1:21" ht="18.75" customHeight="1">
      <c r="A365" s="16">
        <v>373</v>
      </c>
      <c r="B365" s="3">
        <v>10</v>
      </c>
      <c r="C365" s="4" t="s">
        <v>396</v>
      </c>
      <c r="D365" s="9" t="s">
        <v>441</v>
      </c>
      <c r="E365" s="5" t="s">
        <v>387</v>
      </c>
      <c r="F365" s="6">
        <v>338</v>
      </c>
      <c r="G365" s="6">
        <v>1809</v>
      </c>
      <c r="H365" s="6">
        <v>972</v>
      </c>
      <c r="I365" s="6">
        <v>837</v>
      </c>
      <c r="J365" s="17">
        <f t="shared" si="15"/>
        <v>861.1111111111112</v>
      </c>
      <c r="K365" s="6">
        <v>707</v>
      </c>
      <c r="L365" s="6">
        <v>371</v>
      </c>
      <c r="M365" s="6">
        <v>336</v>
      </c>
      <c r="N365" s="7">
        <f t="shared" si="16"/>
        <v>39.082365948037591</v>
      </c>
      <c r="O365" s="6">
        <v>1083</v>
      </c>
      <c r="P365" s="6">
        <v>658</v>
      </c>
      <c r="Q365" s="6">
        <v>425</v>
      </c>
      <c r="R365" s="7">
        <v>69.646302250803856</v>
      </c>
      <c r="S365" s="7">
        <v>77.594339622641513</v>
      </c>
      <c r="T365" s="7">
        <v>60.113154172560115</v>
      </c>
      <c r="U365" s="15">
        <f t="shared" si="17"/>
        <v>2</v>
      </c>
    </row>
    <row r="366" spans="1:21" ht="18.75" customHeight="1">
      <c r="A366" s="16">
        <v>374</v>
      </c>
      <c r="B366" s="3">
        <v>11</v>
      </c>
      <c r="C366" s="4" t="s">
        <v>397</v>
      </c>
      <c r="D366" s="9" t="s">
        <v>441</v>
      </c>
      <c r="E366" s="5" t="s">
        <v>387</v>
      </c>
      <c r="F366" s="6">
        <v>95</v>
      </c>
      <c r="G366" s="6">
        <v>553</v>
      </c>
      <c r="H366" s="6">
        <v>291</v>
      </c>
      <c r="I366" s="6">
        <v>262</v>
      </c>
      <c r="J366" s="17">
        <f t="shared" si="15"/>
        <v>900.34364261168389</v>
      </c>
      <c r="K366" s="6">
        <v>52</v>
      </c>
      <c r="L366" s="6">
        <v>26</v>
      </c>
      <c r="M366" s="6">
        <v>26</v>
      </c>
      <c r="N366" s="7">
        <f t="shared" si="16"/>
        <v>9.4032549728752262</v>
      </c>
      <c r="O366" s="6">
        <v>360</v>
      </c>
      <c r="P366" s="6">
        <v>207</v>
      </c>
      <c r="Q366" s="6">
        <v>153</v>
      </c>
      <c r="R366" s="7">
        <v>74.074074074074076</v>
      </c>
      <c r="S366" s="7">
        <v>81.496062992125985</v>
      </c>
      <c r="T366" s="7">
        <v>65.948275862068968</v>
      </c>
      <c r="U366" s="15">
        <f t="shared" si="17"/>
        <v>1</v>
      </c>
    </row>
    <row r="367" spans="1:21" ht="18.75" customHeight="1">
      <c r="A367" s="16">
        <v>375</v>
      </c>
      <c r="B367" s="3">
        <v>12</v>
      </c>
      <c r="C367" s="4" t="s">
        <v>398</v>
      </c>
      <c r="D367" s="9" t="s">
        <v>441</v>
      </c>
      <c r="E367" s="5" t="s">
        <v>387</v>
      </c>
      <c r="F367" s="6">
        <v>224</v>
      </c>
      <c r="G367" s="6">
        <v>1086</v>
      </c>
      <c r="H367" s="6">
        <v>558</v>
      </c>
      <c r="I367" s="6">
        <v>528</v>
      </c>
      <c r="J367" s="17">
        <f t="shared" si="15"/>
        <v>946.23655913978496</v>
      </c>
      <c r="K367" s="6">
        <v>795</v>
      </c>
      <c r="L367" s="6">
        <v>402</v>
      </c>
      <c r="M367" s="6">
        <v>393</v>
      </c>
      <c r="N367" s="7">
        <f t="shared" si="16"/>
        <v>73.204419889502759</v>
      </c>
      <c r="O367" s="6">
        <v>688</v>
      </c>
      <c r="P367" s="6">
        <v>394</v>
      </c>
      <c r="Q367" s="6">
        <v>294</v>
      </c>
      <c r="R367" s="7">
        <v>73.978494623655905</v>
      </c>
      <c r="S367" s="7">
        <v>82.426778242677827</v>
      </c>
      <c r="T367" s="7">
        <v>65.044247787610615</v>
      </c>
      <c r="U367" s="15">
        <f t="shared" si="17"/>
        <v>1</v>
      </c>
    </row>
    <row r="368" spans="1:21" ht="18.75" customHeight="1">
      <c r="A368" s="16">
        <v>376</v>
      </c>
      <c r="B368" s="3">
        <v>13</v>
      </c>
      <c r="C368" s="4" t="s">
        <v>399</v>
      </c>
      <c r="D368" s="9" t="s">
        <v>441</v>
      </c>
      <c r="E368" s="5" t="s">
        <v>387</v>
      </c>
      <c r="F368" s="6">
        <v>232</v>
      </c>
      <c r="G368" s="6">
        <v>1192</v>
      </c>
      <c r="H368" s="6">
        <v>667</v>
      </c>
      <c r="I368" s="6">
        <v>525</v>
      </c>
      <c r="J368" s="17">
        <f t="shared" si="15"/>
        <v>787.10644677661173</v>
      </c>
      <c r="K368" s="6">
        <v>530</v>
      </c>
      <c r="L368" s="6">
        <v>299</v>
      </c>
      <c r="M368" s="6">
        <v>231</v>
      </c>
      <c r="N368" s="7">
        <f t="shared" si="16"/>
        <v>44.463087248322147</v>
      </c>
      <c r="O368" s="6">
        <v>819</v>
      </c>
      <c r="P368" s="6">
        <v>513</v>
      </c>
      <c r="Q368" s="6">
        <v>306</v>
      </c>
      <c r="R368" s="7">
        <v>77.264150943396231</v>
      </c>
      <c r="S368" s="7">
        <v>86.802030456852791</v>
      </c>
      <c r="T368" s="7">
        <v>65.245202558635398</v>
      </c>
      <c r="U368" s="15">
        <f t="shared" si="17"/>
        <v>3</v>
      </c>
    </row>
    <row r="369" spans="1:21" ht="18.75" customHeight="1">
      <c r="A369" s="16">
        <v>377</v>
      </c>
      <c r="B369" s="3">
        <v>14</v>
      </c>
      <c r="C369" s="4" t="s">
        <v>400</v>
      </c>
      <c r="D369" s="9" t="s">
        <v>441</v>
      </c>
      <c r="E369" s="5" t="s">
        <v>387</v>
      </c>
      <c r="F369" s="6">
        <v>361</v>
      </c>
      <c r="G369" s="6">
        <v>1846</v>
      </c>
      <c r="H369" s="6">
        <v>969</v>
      </c>
      <c r="I369" s="6">
        <v>877</v>
      </c>
      <c r="J369" s="17">
        <f t="shared" si="15"/>
        <v>905.05675954592368</v>
      </c>
      <c r="K369" s="6">
        <v>323</v>
      </c>
      <c r="L369" s="6">
        <v>170</v>
      </c>
      <c r="M369" s="6">
        <v>153</v>
      </c>
      <c r="N369" s="7">
        <f t="shared" si="16"/>
        <v>17.497291440953415</v>
      </c>
      <c r="O369" s="6">
        <v>1241</v>
      </c>
      <c r="P369" s="6">
        <v>725</v>
      </c>
      <c r="Q369" s="6">
        <v>516</v>
      </c>
      <c r="R369" s="7">
        <v>76.937383756974583</v>
      </c>
      <c r="S369" s="7">
        <v>84.994138335287218</v>
      </c>
      <c r="T369" s="7">
        <v>67.89473684210526</v>
      </c>
      <c r="U369" s="15">
        <f t="shared" si="17"/>
        <v>1</v>
      </c>
    </row>
    <row r="370" spans="1:21" ht="18.75" customHeight="1">
      <c r="A370" s="16">
        <v>378</v>
      </c>
      <c r="B370" s="3">
        <v>15</v>
      </c>
      <c r="C370" s="4" t="s">
        <v>401</v>
      </c>
      <c r="D370" s="9" t="s">
        <v>441</v>
      </c>
      <c r="E370" s="5" t="s">
        <v>387</v>
      </c>
      <c r="F370" s="6">
        <v>267</v>
      </c>
      <c r="G370" s="6">
        <v>1322</v>
      </c>
      <c r="H370" s="6">
        <v>688</v>
      </c>
      <c r="I370" s="6">
        <v>634</v>
      </c>
      <c r="J370" s="17">
        <f t="shared" si="15"/>
        <v>921.51162790697674</v>
      </c>
      <c r="K370" s="6">
        <v>434</v>
      </c>
      <c r="L370" s="6">
        <v>226</v>
      </c>
      <c r="M370" s="6">
        <v>208</v>
      </c>
      <c r="N370" s="7">
        <f t="shared" si="16"/>
        <v>32.829046898638424</v>
      </c>
      <c r="O370" s="6">
        <v>915</v>
      </c>
      <c r="P370" s="6">
        <v>502</v>
      </c>
      <c r="Q370" s="6">
        <v>413</v>
      </c>
      <c r="R370" s="7">
        <v>78.879310344827587</v>
      </c>
      <c r="S370" s="7">
        <v>84.94077834179356</v>
      </c>
      <c r="T370" s="7">
        <v>72.583479789103691</v>
      </c>
      <c r="U370" s="15">
        <f t="shared" si="17"/>
        <v>1</v>
      </c>
    </row>
    <row r="371" spans="1:21" ht="18.75" customHeight="1">
      <c r="A371" s="16">
        <v>379</v>
      </c>
      <c r="B371" s="3">
        <v>16</v>
      </c>
      <c r="C371" s="4" t="s">
        <v>402</v>
      </c>
      <c r="D371" s="9" t="s">
        <v>441</v>
      </c>
      <c r="E371" s="5" t="s">
        <v>387</v>
      </c>
      <c r="F371" s="6">
        <v>415</v>
      </c>
      <c r="G371" s="6">
        <v>2373</v>
      </c>
      <c r="H371" s="6">
        <v>1239</v>
      </c>
      <c r="I371" s="6">
        <v>1134</v>
      </c>
      <c r="J371" s="17">
        <f t="shared" si="15"/>
        <v>915.25423728813564</v>
      </c>
      <c r="K371" s="6">
        <v>834</v>
      </c>
      <c r="L371" s="6">
        <v>426</v>
      </c>
      <c r="M371" s="6">
        <v>408</v>
      </c>
      <c r="N371" s="7">
        <f t="shared" si="16"/>
        <v>35.145385587863466</v>
      </c>
      <c r="O371" s="6">
        <v>1400</v>
      </c>
      <c r="P371" s="6">
        <v>812</v>
      </c>
      <c r="Q371" s="6">
        <v>588</v>
      </c>
      <c r="R371" s="7">
        <v>70.671378091872796</v>
      </c>
      <c r="S371" s="7">
        <v>79.452054794520549</v>
      </c>
      <c r="T371" s="7">
        <v>61.313868613138688</v>
      </c>
      <c r="U371" s="15">
        <f t="shared" si="17"/>
        <v>1</v>
      </c>
    </row>
    <row r="372" spans="1:21" ht="18.75" customHeight="1">
      <c r="A372" s="16">
        <v>380</v>
      </c>
      <c r="B372" s="3">
        <v>17</v>
      </c>
      <c r="C372" s="4" t="s">
        <v>403</v>
      </c>
      <c r="D372" s="9" t="s">
        <v>441</v>
      </c>
      <c r="E372" s="5" t="s">
        <v>387</v>
      </c>
      <c r="F372" s="6">
        <v>186</v>
      </c>
      <c r="G372" s="6">
        <v>919</v>
      </c>
      <c r="H372" s="6">
        <v>492</v>
      </c>
      <c r="I372" s="6">
        <v>427</v>
      </c>
      <c r="J372" s="17">
        <f t="shared" si="15"/>
        <v>867.88617886178861</v>
      </c>
      <c r="K372" s="6">
        <v>145</v>
      </c>
      <c r="L372" s="6">
        <v>84</v>
      </c>
      <c r="M372" s="6">
        <v>61</v>
      </c>
      <c r="N372" s="7">
        <f t="shared" si="16"/>
        <v>15.778019586507073</v>
      </c>
      <c r="O372" s="6">
        <v>624</v>
      </c>
      <c r="P372" s="6">
        <v>377</v>
      </c>
      <c r="Q372" s="6">
        <v>247</v>
      </c>
      <c r="R372" s="7">
        <v>76.376988984088129</v>
      </c>
      <c r="S372" s="7">
        <v>86.270022883295198</v>
      </c>
      <c r="T372" s="7">
        <v>65</v>
      </c>
      <c r="U372" s="15">
        <f t="shared" si="17"/>
        <v>2</v>
      </c>
    </row>
    <row r="373" spans="1:21" ht="18.75" customHeight="1">
      <c r="A373" s="16">
        <v>381</v>
      </c>
      <c r="B373" s="3">
        <v>18</v>
      </c>
      <c r="C373" s="4" t="s">
        <v>404</v>
      </c>
      <c r="D373" s="9" t="s">
        <v>441</v>
      </c>
      <c r="E373" s="5" t="s">
        <v>387</v>
      </c>
      <c r="F373" s="6">
        <v>203</v>
      </c>
      <c r="G373" s="6">
        <v>1044</v>
      </c>
      <c r="H373" s="6">
        <v>532</v>
      </c>
      <c r="I373" s="6">
        <v>512</v>
      </c>
      <c r="J373" s="17">
        <f t="shared" si="15"/>
        <v>962.40601503759399</v>
      </c>
      <c r="K373" s="6">
        <v>342</v>
      </c>
      <c r="L373" s="6">
        <v>179</v>
      </c>
      <c r="M373" s="6">
        <v>163</v>
      </c>
      <c r="N373" s="7">
        <f t="shared" si="16"/>
        <v>32.758620689655174</v>
      </c>
      <c r="O373" s="6">
        <v>683</v>
      </c>
      <c r="P373" s="6">
        <v>381</v>
      </c>
      <c r="Q373" s="6">
        <v>302</v>
      </c>
      <c r="R373" s="7">
        <v>74.400871459694983</v>
      </c>
      <c r="S373" s="7">
        <v>81.759656652360519</v>
      </c>
      <c r="T373" s="7">
        <v>66.814159292035399</v>
      </c>
      <c r="U373" s="15">
        <f t="shared" si="17"/>
        <v>1</v>
      </c>
    </row>
    <row r="374" spans="1:21" ht="18.75" customHeight="1">
      <c r="A374" s="16">
        <v>382</v>
      </c>
      <c r="B374" s="3">
        <v>19</v>
      </c>
      <c r="C374" s="4" t="s">
        <v>405</v>
      </c>
      <c r="D374" s="9" t="s">
        <v>441</v>
      </c>
      <c r="E374" s="5" t="s">
        <v>387</v>
      </c>
      <c r="F374" s="6">
        <v>191</v>
      </c>
      <c r="G374" s="6">
        <v>924</v>
      </c>
      <c r="H374" s="6">
        <v>496</v>
      </c>
      <c r="I374" s="6">
        <v>428</v>
      </c>
      <c r="J374" s="17">
        <f t="shared" si="15"/>
        <v>862.90322580645159</v>
      </c>
      <c r="K374" s="6">
        <v>416</v>
      </c>
      <c r="L374" s="6">
        <v>223</v>
      </c>
      <c r="M374" s="6">
        <v>193</v>
      </c>
      <c r="N374" s="7">
        <f t="shared" si="16"/>
        <v>45.021645021645021</v>
      </c>
      <c r="O374" s="6">
        <v>639</v>
      </c>
      <c r="P374" s="6">
        <v>364</v>
      </c>
      <c r="Q374" s="6">
        <v>275</v>
      </c>
      <c r="R374" s="7">
        <v>78.986402966625462</v>
      </c>
      <c r="S374" s="7">
        <v>84.454756380510446</v>
      </c>
      <c r="T374" s="7">
        <v>72.75132275132276</v>
      </c>
      <c r="U374" s="15">
        <f t="shared" si="17"/>
        <v>2</v>
      </c>
    </row>
    <row r="375" spans="1:21" ht="18.75" customHeight="1">
      <c r="A375" s="16">
        <v>383</v>
      </c>
      <c r="B375" s="3">
        <v>20</v>
      </c>
      <c r="C375" s="4" t="s">
        <v>406</v>
      </c>
      <c r="D375" s="9" t="s">
        <v>441</v>
      </c>
      <c r="E375" s="5" t="s">
        <v>387</v>
      </c>
      <c r="F375" s="6">
        <v>280</v>
      </c>
      <c r="G375" s="6">
        <v>1334</v>
      </c>
      <c r="H375" s="6">
        <v>682</v>
      </c>
      <c r="I375" s="6">
        <v>652</v>
      </c>
      <c r="J375" s="17">
        <f t="shared" si="15"/>
        <v>956.01173020527858</v>
      </c>
      <c r="K375" s="6">
        <v>555</v>
      </c>
      <c r="L375" s="6">
        <v>279</v>
      </c>
      <c r="M375" s="6">
        <v>276</v>
      </c>
      <c r="N375" s="7">
        <f t="shared" si="16"/>
        <v>41.604197901049474</v>
      </c>
      <c r="O375" s="6">
        <v>815</v>
      </c>
      <c r="P375" s="6">
        <v>469</v>
      </c>
      <c r="Q375" s="6">
        <v>346</v>
      </c>
      <c r="R375" s="7">
        <v>69.957081545064383</v>
      </c>
      <c r="S375" s="7">
        <v>79.357021996615913</v>
      </c>
      <c r="T375" s="7">
        <v>60.278745644599304</v>
      </c>
      <c r="U375" s="15">
        <f t="shared" si="17"/>
        <v>1</v>
      </c>
    </row>
    <row r="376" spans="1:21" ht="18.75" customHeight="1">
      <c r="A376" s="16">
        <v>384</v>
      </c>
      <c r="B376" s="3">
        <v>21</v>
      </c>
      <c r="C376" s="4" t="s">
        <v>407</v>
      </c>
      <c r="D376" s="9" t="s">
        <v>441</v>
      </c>
      <c r="E376" s="5" t="s">
        <v>387</v>
      </c>
      <c r="F376" s="6">
        <v>377</v>
      </c>
      <c r="G376" s="6">
        <v>1988</v>
      </c>
      <c r="H376" s="6">
        <v>1082</v>
      </c>
      <c r="I376" s="6">
        <v>906</v>
      </c>
      <c r="J376" s="17">
        <f t="shared" si="15"/>
        <v>837.33826247689467</v>
      </c>
      <c r="K376" s="6">
        <v>704</v>
      </c>
      <c r="L376" s="6">
        <v>350</v>
      </c>
      <c r="M376" s="6">
        <v>354</v>
      </c>
      <c r="N376" s="7">
        <f t="shared" si="16"/>
        <v>35.412474849094565</v>
      </c>
      <c r="O376" s="6">
        <v>1414</v>
      </c>
      <c r="P376" s="6">
        <v>862</v>
      </c>
      <c r="Q376" s="6">
        <v>552</v>
      </c>
      <c r="R376" s="7">
        <v>79.887005649717509</v>
      </c>
      <c r="S376" s="7">
        <v>89.419087136929463</v>
      </c>
      <c r="T376" s="7">
        <v>68.486352357320101</v>
      </c>
      <c r="U376" s="15">
        <f t="shared" si="17"/>
        <v>2</v>
      </c>
    </row>
    <row r="377" spans="1:21" ht="18.75" customHeight="1">
      <c r="A377" s="16">
        <v>385</v>
      </c>
      <c r="B377" s="3">
        <v>22</v>
      </c>
      <c r="C377" s="4" t="s">
        <v>408</v>
      </c>
      <c r="D377" s="9" t="s">
        <v>441</v>
      </c>
      <c r="E377" s="5" t="s">
        <v>387</v>
      </c>
      <c r="F377" s="6">
        <v>205</v>
      </c>
      <c r="G377" s="6">
        <v>1008</v>
      </c>
      <c r="H377" s="6">
        <v>531</v>
      </c>
      <c r="I377" s="6">
        <v>477</v>
      </c>
      <c r="J377" s="17">
        <f t="shared" si="15"/>
        <v>898.30508474576277</v>
      </c>
      <c r="K377" s="6">
        <v>414</v>
      </c>
      <c r="L377" s="6">
        <v>217</v>
      </c>
      <c r="M377" s="6">
        <v>197</v>
      </c>
      <c r="N377" s="7">
        <f t="shared" ref="N377:N407" si="18">K377/G377*100</f>
        <v>41.071428571428569</v>
      </c>
      <c r="O377" s="6">
        <v>676</v>
      </c>
      <c r="P377" s="6">
        <v>385</v>
      </c>
      <c r="Q377" s="6">
        <v>291</v>
      </c>
      <c r="R377" s="7">
        <v>75.362318840579718</v>
      </c>
      <c r="S377" s="7">
        <v>81.914893617021278</v>
      </c>
      <c r="T377" s="7">
        <v>68.149882903981265</v>
      </c>
      <c r="U377" s="15">
        <f t="shared" si="17"/>
        <v>2</v>
      </c>
    </row>
    <row r="378" spans="1:21" ht="18.75" customHeight="1">
      <c r="A378" s="16">
        <v>386</v>
      </c>
      <c r="B378" s="3">
        <v>23</v>
      </c>
      <c r="C378" s="4" t="s">
        <v>409</v>
      </c>
      <c r="D378" s="9" t="s">
        <v>441</v>
      </c>
      <c r="E378" s="5" t="s">
        <v>387</v>
      </c>
      <c r="F378" s="6">
        <v>469</v>
      </c>
      <c r="G378" s="6">
        <v>2720</v>
      </c>
      <c r="H378" s="6">
        <v>1441</v>
      </c>
      <c r="I378" s="6">
        <v>1279</v>
      </c>
      <c r="J378" s="17">
        <f t="shared" ref="J378:J407" si="19">I378/H378*1000</f>
        <v>887.57807078417761</v>
      </c>
      <c r="K378" s="6">
        <v>493</v>
      </c>
      <c r="L378" s="6">
        <v>267</v>
      </c>
      <c r="M378" s="6">
        <v>226</v>
      </c>
      <c r="N378" s="7">
        <f t="shared" si="18"/>
        <v>18.125</v>
      </c>
      <c r="O378" s="6">
        <v>1896</v>
      </c>
      <c r="P378" s="6">
        <v>1073</v>
      </c>
      <c r="Q378" s="6">
        <v>823</v>
      </c>
      <c r="R378" s="7">
        <v>79.865206402695875</v>
      </c>
      <c r="S378" s="7">
        <v>86.323411102172159</v>
      </c>
      <c r="T378" s="7">
        <v>72.767462422634836</v>
      </c>
      <c r="U378" s="15">
        <f t="shared" ref="U378:U407" si="20">IF($J378&gt;900,1,IF($J378&gt;800,2,IF($J378&gt;700,3,0)))</f>
        <v>2</v>
      </c>
    </row>
    <row r="379" spans="1:21" ht="18.75" customHeight="1">
      <c r="A379" s="16">
        <v>387</v>
      </c>
      <c r="B379" s="3">
        <v>24</v>
      </c>
      <c r="C379" s="4" t="s">
        <v>410</v>
      </c>
      <c r="D379" s="9" t="s">
        <v>441</v>
      </c>
      <c r="E379" s="5" t="s">
        <v>387</v>
      </c>
      <c r="F379" s="6">
        <v>185</v>
      </c>
      <c r="G379" s="6">
        <v>1010</v>
      </c>
      <c r="H379" s="6">
        <v>532</v>
      </c>
      <c r="I379" s="6">
        <v>478</v>
      </c>
      <c r="J379" s="17">
        <f t="shared" si="19"/>
        <v>898.49624060150381</v>
      </c>
      <c r="K379" s="6">
        <v>85</v>
      </c>
      <c r="L379" s="6">
        <v>42</v>
      </c>
      <c r="M379" s="6">
        <v>43</v>
      </c>
      <c r="N379" s="7">
        <f t="shared" si="18"/>
        <v>8.4158415841584162</v>
      </c>
      <c r="O379" s="6">
        <v>658</v>
      </c>
      <c r="P379" s="6">
        <v>380</v>
      </c>
      <c r="Q379" s="6">
        <v>278</v>
      </c>
      <c r="R379" s="7">
        <v>73.932584269662925</v>
      </c>
      <c r="S379" s="7">
        <v>82.251082251082252</v>
      </c>
      <c r="T379" s="7">
        <v>64.953271028037392</v>
      </c>
      <c r="U379" s="15">
        <f t="shared" si="20"/>
        <v>2</v>
      </c>
    </row>
    <row r="380" spans="1:21" ht="18.75" customHeight="1">
      <c r="A380" s="16">
        <v>388</v>
      </c>
      <c r="B380" s="3">
        <v>25</v>
      </c>
      <c r="C380" s="4" t="s">
        <v>411</v>
      </c>
      <c r="D380" s="9" t="s">
        <v>441</v>
      </c>
      <c r="E380" s="5" t="s">
        <v>387</v>
      </c>
      <c r="F380" s="6">
        <v>302</v>
      </c>
      <c r="G380" s="6">
        <v>1749</v>
      </c>
      <c r="H380" s="6">
        <v>931</v>
      </c>
      <c r="I380" s="6">
        <v>818</v>
      </c>
      <c r="J380" s="17">
        <f t="shared" si="19"/>
        <v>878.62513426423209</v>
      </c>
      <c r="K380" s="6">
        <v>431</v>
      </c>
      <c r="L380" s="6">
        <v>226</v>
      </c>
      <c r="M380" s="6">
        <v>205</v>
      </c>
      <c r="N380" s="7">
        <f t="shared" si="18"/>
        <v>24.642652944539737</v>
      </c>
      <c r="O380" s="6">
        <v>1211</v>
      </c>
      <c r="P380" s="6">
        <v>702</v>
      </c>
      <c r="Q380" s="6">
        <v>509</v>
      </c>
      <c r="R380" s="7">
        <v>77.232142857142861</v>
      </c>
      <c r="S380" s="7">
        <v>84.27370948379351</v>
      </c>
      <c r="T380" s="7">
        <v>69.251700680272108</v>
      </c>
      <c r="U380" s="15">
        <f t="shared" si="20"/>
        <v>2</v>
      </c>
    </row>
    <row r="381" spans="1:21" ht="18.75" customHeight="1">
      <c r="A381" s="16">
        <v>389</v>
      </c>
      <c r="B381" s="3">
        <v>26</v>
      </c>
      <c r="C381" s="4" t="s">
        <v>412</v>
      </c>
      <c r="D381" s="9" t="s">
        <v>441</v>
      </c>
      <c r="E381" s="5" t="s">
        <v>387</v>
      </c>
      <c r="F381" s="6">
        <v>494</v>
      </c>
      <c r="G381" s="6">
        <v>2370</v>
      </c>
      <c r="H381" s="6">
        <v>1294</v>
      </c>
      <c r="I381" s="6">
        <v>1076</v>
      </c>
      <c r="J381" s="17">
        <f t="shared" si="19"/>
        <v>831.53013910355492</v>
      </c>
      <c r="K381" s="6">
        <v>383</v>
      </c>
      <c r="L381" s="6">
        <v>214</v>
      </c>
      <c r="M381" s="6">
        <v>169</v>
      </c>
      <c r="N381" s="7">
        <f t="shared" si="18"/>
        <v>16.160337552742615</v>
      </c>
      <c r="O381" s="6">
        <v>1492</v>
      </c>
      <c r="P381" s="6">
        <v>891</v>
      </c>
      <c r="Q381" s="6">
        <v>601</v>
      </c>
      <c r="R381" s="7">
        <v>71.251193887297035</v>
      </c>
      <c r="S381" s="7">
        <v>77.748691099476446</v>
      </c>
      <c r="T381" s="7">
        <v>63.396624472573833</v>
      </c>
      <c r="U381" s="15">
        <f t="shared" si="20"/>
        <v>2</v>
      </c>
    </row>
    <row r="382" spans="1:21" ht="18.75" customHeight="1">
      <c r="A382" s="16">
        <v>390</v>
      </c>
      <c r="B382" s="3">
        <v>27</v>
      </c>
      <c r="C382" s="4" t="s">
        <v>413</v>
      </c>
      <c r="D382" s="9" t="s">
        <v>441</v>
      </c>
      <c r="E382" s="5" t="s">
        <v>387</v>
      </c>
      <c r="F382" s="6">
        <v>159</v>
      </c>
      <c r="G382" s="6">
        <v>787</v>
      </c>
      <c r="H382" s="6">
        <v>438</v>
      </c>
      <c r="I382" s="6">
        <v>349</v>
      </c>
      <c r="J382" s="17">
        <f t="shared" si="19"/>
        <v>796.80365296803654</v>
      </c>
      <c r="K382" s="6">
        <v>312</v>
      </c>
      <c r="L382" s="6">
        <v>170</v>
      </c>
      <c r="M382" s="6">
        <v>142</v>
      </c>
      <c r="N382" s="7">
        <f t="shared" si="18"/>
        <v>39.644218551461243</v>
      </c>
      <c r="O382" s="6">
        <v>411</v>
      </c>
      <c r="P382" s="6">
        <v>252</v>
      </c>
      <c r="Q382" s="6">
        <v>159</v>
      </c>
      <c r="R382" s="7">
        <v>63.328197226502311</v>
      </c>
      <c r="S382" s="7">
        <v>70.19498607242339</v>
      </c>
      <c r="T382" s="7">
        <v>54.827586206896548</v>
      </c>
      <c r="U382" s="15">
        <f t="shared" si="20"/>
        <v>3</v>
      </c>
    </row>
    <row r="383" spans="1:21" ht="18.75" customHeight="1">
      <c r="A383" s="16">
        <v>391</v>
      </c>
      <c r="B383" s="3">
        <v>28</v>
      </c>
      <c r="C383" s="4" t="s">
        <v>414</v>
      </c>
      <c r="D383" s="9" t="s">
        <v>441</v>
      </c>
      <c r="E383" s="5" t="s">
        <v>387</v>
      </c>
      <c r="F383" s="6">
        <v>687</v>
      </c>
      <c r="G383" s="6">
        <v>3536</v>
      </c>
      <c r="H383" s="6">
        <v>1869</v>
      </c>
      <c r="I383" s="6">
        <v>1667</v>
      </c>
      <c r="J383" s="17">
        <f t="shared" si="19"/>
        <v>891.92081326912785</v>
      </c>
      <c r="K383" s="6">
        <v>393</v>
      </c>
      <c r="L383" s="6">
        <v>207</v>
      </c>
      <c r="M383" s="6">
        <v>186</v>
      </c>
      <c r="N383" s="7">
        <f t="shared" si="18"/>
        <v>11.114253393665157</v>
      </c>
      <c r="O383" s="6">
        <v>2610</v>
      </c>
      <c r="P383" s="6">
        <v>1467</v>
      </c>
      <c r="Q383" s="6">
        <v>1143</v>
      </c>
      <c r="R383" s="7">
        <v>83.627042614546625</v>
      </c>
      <c r="S383" s="7">
        <v>90.110565110565105</v>
      </c>
      <c r="T383" s="7">
        <v>76.557267247153376</v>
      </c>
      <c r="U383" s="15">
        <f t="shared" si="20"/>
        <v>2</v>
      </c>
    </row>
    <row r="384" spans="1:21" ht="18.75" customHeight="1">
      <c r="A384" s="16">
        <v>392</v>
      </c>
      <c r="B384" s="3">
        <v>29</v>
      </c>
      <c r="C384" s="4" t="s">
        <v>415</v>
      </c>
      <c r="D384" s="9" t="s">
        <v>441</v>
      </c>
      <c r="E384" s="5" t="s">
        <v>387</v>
      </c>
      <c r="F384" s="6">
        <v>177</v>
      </c>
      <c r="G384" s="6">
        <v>789</v>
      </c>
      <c r="H384" s="6">
        <v>401</v>
      </c>
      <c r="I384" s="6">
        <v>388</v>
      </c>
      <c r="J384" s="17">
        <f t="shared" si="19"/>
        <v>967.58104738154611</v>
      </c>
      <c r="K384" s="6">
        <v>512</v>
      </c>
      <c r="L384" s="6">
        <v>267</v>
      </c>
      <c r="M384" s="6">
        <v>245</v>
      </c>
      <c r="N384" s="7">
        <f t="shared" si="18"/>
        <v>64.892268694550054</v>
      </c>
      <c r="O384" s="6">
        <v>475</v>
      </c>
      <c r="P384" s="6">
        <v>272</v>
      </c>
      <c r="Q384" s="6">
        <v>203</v>
      </c>
      <c r="R384" s="7">
        <v>72.18844984802432</v>
      </c>
      <c r="S384" s="7">
        <v>80.712166172106819</v>
      </c>
      <c r="T384" s="7">
        <v>63.239875389408098</v>
      </c>
      <c r="U384" s="15">
        <f t="shared" si="20"/>
        <v>1</v>
      </c>
    </row>
    <row r="385" spans="1:21" ht="18.75" customHeight="1">
      <c r="A385" s="16">
        <v>393</v>
      </c>
      <c r="B385" s="3">
        <v>30</v>
      </c>
      <c r="C385" s="4" t="s">
        <v>416</v>
      </c>
      <c r="D385" s="9" t="s">
        <v>441</v>
      </c>
      <c r="E385" s="5" t="s">
        <v>387</v>
      </c>
      <c r="F385" s="6">
        <v>222</v>
      </c>
      <c r="G385" s="6">
        <v>1121</v>
      </c>
      <c r="H385" s="6">
        <v>569</v>
      </c>
      <c r="I385" s="6">
        <v>552</v>
      </c>
      <c r="J385" s="17">
        <f t="shared" si="19"/>
        <v>970.12302284710017</v>
      </c>
      <c r="K385" s="6">
        <v>171</v>
      </c>
      <c r="L385" s="6">
        <v>85</v>
      </c>
      <c r="M385" s="6">
        <v>86</v>
      </c>
      <c r="N385" s="7">
        <f t="shared" si="18"/>
        <v>15.254237288135593</v>
      </c>
      <c r="O385" s="6">
        <v>712</v>
      </c>
      <c r="P385" s="6">
        <v>378</v>
      </c>
      <c r="Q385" s="6">
        <v>334</v>
      </c>
      <c r="R385" s="7">
        <v>73.175745118191159</v>
      </c>
      <c r="S385" s="7">
        <v>78.914405010438415</v>
      </c>
      <c r="T385" s="7">
        <v>67.611336032388664</v>
      </c>
      <c r="U385" s="15">
        <f t="shared" si="20"/>
        <v>1</v>
      </c>
    </row>
    <row r="386" spans="1:21" ht="18.75" customHeight="1">
      <c r="A386" s="16">
        <v>394</v>
      </c>
      <c r="B386" s="3">
        <v>31</v>
      </c>
      <c r="C386" s="4" t="s">
        <v>417</v>
      </c>
      <c r="D386" s="9" t="s">
        <v>441</v>
      </c>
      <c r="E386" s="5" t="s">
        <v>387</v>
      </c>
      <c r="F386" s="6">
        <v>1449</v>
      </c>
      <c r="G386" s="6">
        <v>7630</v>
      </c>
      <c r="H386" s="6">
        <v>4003</v>
      </c>
      <c r="I386" s="6">
        <v>3627</v>
      </c>
      <c r="J386" s="17">
        <f t="shared" si="19"/>
        <v>906.07044716462644</v>
      </c>
      <c r="K386" s="6">
        <v>1882</v>
      </c>
      <c r="L386" s="6">
        <v>993</v>
      </c>
      <c r="M386" s="6">
        <v>889</v>
      </c>
      <c r="N386" s="7">
        <f t="shared" si="18"/>
        <v>24.665792922673656</v>
      </c>
      <c r="O386" s="6">
        <v>3863</v>
      </c>
      <c r="P386" s="6">
        <v>2263</v>
      </c>
      <c r="Q386" s="6">
        <v>1600</v>
      </c>
      <c r="R386" s="7">
        <v>60.387681725808974</v>
      </c>
      <c r="S386" s="7">
        <v>67.856071964018</v>
      </c>
      <c r="T386" s="7">
        <v>52.253429131286744</v>
      </c>
      <c r="U386" s="15">
        <f t="shared" si="20"/>
        <v>1</v>
      </c>
    </row>
    <row r="387" spans="1:21" ht="18.75" customHeight="1">
      <c r="A387" s="16">
        <v>395</v>
      </c>
      <c r="B387" s="3">
        <v>32</v>
      </c>
      <c r="C387" s="4" t="s">
        <v>418</v>
      </c>
      <c r="D387" s="9" t="s">
        <v>441</v>
      </c>
      <c r="E387" s="5" t="s">
        <v>387</v>
      </c>
      <c r="F387" s="6">
        <v>295</v>
      </c>
      <c r="G387" s="6">
        <v>1666</v>
      </c>
      <c r="H387" s="6">
        <v>872</v>
      </c>
      <c r="I387" s="6">
        <v>794</v>
      </c>
      <c r="J387" s="17">
        <f t="shared" si="19"/>
        <v>910.55045871559639</v>
      </c>
      <c r="K387" s="6">
        <v>272</v>
      </c>
      <c r="L387" s="6">
        <v>139</v>
      </c>
      <c r="M387" s="6">
        <v>133</v>
      </c>
      <c r="N387" s="7">
        <f t="shared" si="18"/>
        <v>16.326530612244898</v>
      </c>
      <c r="O387" s="6">
        <v>1076</v>
      </c>
      <c r="P387" s="6">
        <v>640</v>
      </c>
      <c r="Q387" s="6">
        <v>436</v>
      </c>
      <c r="R387" s="7">
        <v>73.497267759562845</v>
      </c>
      <c r="S387" s="7">
        <v>83.769633507853399</v>
      </c>
      <c r="T387" s="7">
        <v>62.285714285714292</v>
      </c>
      <c r="U387" s="15">
        <f t="shared" si="20"/>
        <v>1</v>
      </c>
    </row>
    <row r="388" spans="1:21" ht="18.75" customHeight="1">
      <c r="A388" s="16">
        <v>396</v>
      </c>
      <c r="B388" s="3">
        <v>33</v>
      </c>
      <c r="C388" s="4" t="s">
        <v>419</v>
      </c>
      <c r="D388" s="9" t="s">
        <v>441</v>
      </c>
      <c r="E388" s="5" t="s">
        <v>387</v>
      </c>
      <c r="F388" s="6">
        <v>155</v>
      </c>
      <c r="G388" s="6">
        <v>843</v>
      </c>
      <c r="H388" s="6">
        <v>453</v>
      </c>
      <c r="I388" s="6">
        <v>390</v>
      </c>
      <c r="J388" s="17">
        <f t="shared" si="19"/>
        <v>860.92715231788077</v>
      </c>
      <c r="K388" s="6">
        <v>246</v>
      </c>
      <c r="L388" s="6">
        <v>134</v>
      </c>
      <c r="M388" s="6">
        <v>112</v>
      </c>
      <c r="N388" s="7">
        <f t="shared" si="18"/>
        <v>29.181494661921707</v>
      </c>
      <c r="O388" s="6">
        <v>557</v>
      </c>
      <c r="P388" s="6">
        <v>327</v>
      </c>
      <c r="Q388" s="6">
        <v>230</v>
      </c>
      <c r="R388" s="7">
        <v>73.774834437086085</v>
      </c>
      <c r="S388" s="7">
        <v>82.784810126582272</v>
      </c>
      <c r="T388" s="7">
        <v>63.888888888888886</v>
      </c>
      <c r="U388" s="15">
        <f t="shared" si="20"/>
        <v>2</v>
      </c>
    </row>
    <row r="389" spans="1:21" ht="18.75" customHeight="1">
      <c r="A389" s="16">
        <v>397</v>
      </c>
      <c r="B389" s="3">
        <v>34</v>
      </c>
      <c r="C389" s="4" t="s">
        <v>420</v>
      </c>
      <c r="D389" s="9" t="s">
        <v>441</v>
      </c>
      <c r="E389" s="5" t="s">
        <v>387</v>
      </c>
      <c r="F389" s="6">
        <v>200</v>
      </c>
      <c r="G389" s="6">
        <v>987</v>
      </c>
      <c r="H389" s="6">
        <v>534</v>
      </c>
      <c r="I389" s="6">
        <v>453</v>
      </c>
      <c r="J389" s="17">
        <f t="shared" si="19"/>
        <v>848.31460674157302</v>
      </c>
      <c r="K389" s="6">
        <v>17</v>
      </c>
      <c r="L389" s="6">
        <v>10</v>
      </c>
      <c r="M389" s="6">
        <v>7</v>
      </c>
      <c r="N389" s="7">
        <f t="shared" si="18"/>
        <v>1.7223910840932117</v>
      </c>
      <c r="O389" s="6">
        <v>677</v>
      </c>
      <c r="P389" s="6">
        <v>415</v>
      </c>
      <c r="Q389" s="6">
        <v>262</v>
      </c>
      <c r="R389" s="7">
        <v>77.816091954022994</v>
      </c>
      <c r="S389" s="7">
        <v>90.021691973969638</v>
      </c>
      <c r="T389" s="7">
        <v>64.058679706601467</v>
      </c>
      <c r="U389" s="15">
        <f t="shared" si="20"/>
        <v>2</v>
      </c>
    </row>
    <row r="390" spans="1:21" ht="18.75" customHeight="1">
      <c r="A390" s="16">
        <v>398</v>
      </c>
      <c r="B390" s="3">
        <v>35</v>
      </c>
      <c r="C390" s="4" t="s">
        <v>421</v>
      </c>
      <c r="D390" s="9" t="s">
        <v>441</v>
      </c>
      <c r="E390" s="5" t="s">
        <v>387</v>
      </c>
      <c r="F390" s="6">
        <v>1</v>
      </c>
      <c r="G390" s="6">
        <v>4</v>
      </c>
      <c r="H390" s="6">
        <v>3</v>
      </c>
      <c r="I390" s="6">
        <v>1</v>
      </c>
      <c r="J390" s="17">
        <f t="shared" si="19"/>
        <v>333.33333333333331</v>
      </c>
      <c r="K390" s="6">
        <v>0</v>
      </c>
      <c r="L390" s="6">
        <v>0</v>
      </c>
      <c r="M390" s="6">
        <v>0</v>
      </c>
      <c r="N390" s="7">
        <f t="shared" si="18"/>
        <v>0</v>
      </c>
      <c r="O390" s="6">
        <v>3</v>
      </c>
      <c r="P390" s="6">
        <v>3</v>
      </c>
      <c r="Q390" s="6">
        <v>0</v>
      </c>
      <c r="R390" s="7">
        <v>75</v>
      </c>
      <c r="S390" s="7">
        <v>100</v>
      </c>
      <c r="T390" s="7">
        <v>0</v>
      </c>
      <c r="U390" s="15">
        <f t="shared" si="20"/>
        <v>0</v>
      </c>
    </row>
    <row r="391" spans="1:21" ht="18.75" customHeight="1">
      <c r="A391" s="16">
        <v>399</v>
      </c>
      <c r="B391" s="3">
        <v>36</v>
      </c>
      <c r="C391" s="4" t="s">
        <v>422</v>
      </c>
      <c r="D391" s="9" t="s">
        <v>441</v>
      </c>
      <c r="E391" s="5" t="s">
        <v>387</v>
      </c>
      <c r="F391" s="6">
        <v>301</v>
      </c>
      <c r="G391" s="6">
        <v>1540</v>
      </c>
      <c r="H391" s="6">
        <v>804</v>
      </c>
      <c r="I391" s="6">
        <v>736</v>
      </c>
      <c r="J391" s="17">
        <f t="shared" si="19"/>
        <v>915.42288557213931</v>
      </c>
      <c r="K391" s="6">
        <v>295</v>
      </c>
      <c r="L391" s="6">
        <v>150</v>
      </c>
      <c r="M391" s="6">
        <v>145</v>
      </c>
      <c r="N391" s="7">
        <f t="shared" si="18"/>
        <v>19.155844155844157</v>
      </c>
      <c r="O391" s="6">
        <v>1060</v>
      </c>
      <c r="P391" s="6">
        <v>611</v>
      </c>
      <c r="Q391" s="6">
        <v>449</v>
      </c>
      <c r="R391" s="7">
        <v>79.163554891710234</v>
      </c>
      <c r="S391" s="7">
        <v>88.167388167388168</v>
      </c>
      <c r="T391" s="7">
        <v>69.504643962848306</v>
      </c>
      <c r="U391" s="15">
        <f t="shared" si="20"/>
        <v>1</v>
      </c>
    </row>
    <row r="392" spans="1:21" ht="18.75" customHeight="1">
      <c r="A392" s="16">
        <v>400</v>
      </c>
      <c r="B392" s="3">
        <v>37</v>
      </c>
      <c r="C392" s="4" t="s">
        <v>423</v>
      </c>
      <c r="D392" s="9" t="s">
        <v>441</v>
      </c>
      <c r="E392" s="5" t="s">
        <v>387</v>
      </c>
      <c r="F392" s="6">
        <v>377</v>
      </c>
      <c r="G392" s="6">
        <v>2064</v>
      </c>
      <c r="H392" s="6">
        <v>1077</v>
      </c>
      <c r="I392" s="6">
        <v>987</v>
      </c>
      <c r="J392" s="17">
        <f t="shared" si="19"/>
        <v>916.4345403899722</v>
      </c>
      <c r="K392" s="6">
        <v>427</v>
      </c>
      <c r="L392" s="6">
        <v>227</v>
      </c>
      <c r="M392" s="6">
        <v>200</v>
      </c>
      <c r="N392" s="7">
        <f t="shared" si="18"/>
        <v>20.687984496124031</v>
      </c>
      <c r="O392" s="6">
        <v>1461</v>
      </c>
      <c r="P392" s="6">
        <v>833</v>
      </c>
      <c r="Q392" s="6">
        <v>628</v>
      </c>
      <c r="R392" s="7">
        <v>79.792463134898966</v>
      </c>
      <c r="S392" s="7">
        <v>88.617021276595736</v>
      </c>
      <c r="T392" s="7">
        <v>70.482603815937154</v>
      </c>
      <c r="U392" s="15">
        <f t="shared" si="20"/>
        <v>1</v>
      </c>
    </row>
    <row r="393" spans="1:21" ht="18.75" customHeight="1">
      <c r="A393" s="16">
        <v>401</v>
      </c>
      <c r="B393" s="3">
        <v>38</v>
      </c>
      <c r="C393" s="4" t="s">
        <v>424</v>
      </c>
      <c r="D393" s="9" t="s">
        <v>441</v>
      </c>
      <c r="E393" s="5" t="s">
        <v>387</v>
      </c>
      <c r="F393" s="6">
        <v>1593</v>
      </c>
      <c r="G393" s="6">
        <v>7658</v>
      </c>
      <c r="H393" s="6">
        <v>4042</v>
      </c>
      <c r="I393" s="6">
        <v>3616</v>
      </c>
      <c r="J393" s="17">
        <f t="shared" si="19"/>
        <v>894.60663038099949</v>
      </c>
      <c r="K393" s="6">
        <v>1028</v>
      </c>
      <c r="L393" s="6">
        <v>534</v>
      </c>
      <c r="M393" s="6">
        <v>494</v>
      </c>
      <c r="N393" s="7">
        <f t="shared" si="18"/>
        <v>13.423870462261686</v>
      </c>
      <c r="O393" s="6">
        <v>5698</v>
      </c>
      <c r="P393" s="6">
        <v>3183</v>
      </c>
      <c r="Q393" s="6">
        <v>2515</v>
      </c>
      <c r="R393" s="7">
        <v>84.277473746487203</v>
      </c>
      <c r="S393" s="7">
        <v>89.561057962858754</v>
      </c>
      <c r="T393" s="7">
        <v>78.422201434362336</v>
      </c>
      <c r="U393" s="15">
        <f t="shared" si="20"/>
        <v>2</v>
      </c>
    </row>
    <row r="394" spans="1:21" ht="18.75" customHeight="1">
      <c r="A394" s="16">
        <v>402</v>
      </c>
      <c r="B394" s="3">
        <v>39</v>
      </c>
      <c r="C394" s="4" t="s">
        <v>425</v>
      </c>
      <c r="D394" s="9" t="s">
        <v>441</v>
      </c>
      <c r="E394" s="5" t="s">
        <v>387</v>
      </c>
      <c r="F394" s="6">
        <v>175</v>
      </c>
      <c r="G394" s="6">
        <v>935</v>
      </c>
      <c r="H394" s="6">
        <v>497</v>
      </c>
      <c r="I394" s="6">
        <v>438</v>
      </c>
      <c r="J394" s="17">
        <f t="shared" si="19"/>
        <v>881.28772635814892</v>
      </c>
      <c r="K394" s="6">
        <v>210</v>
      </c>
      <c r="L394" s="6">
        <v>114</v>
      </c>
      <c r="M394" s="6">
        <v>96</v>
      </c>
      <c r="N394" s="7">
        <f t="shared" si="18"/>
        <v>22.459893048128343</v>
      </c>
      <c r="O394" s="6">
        <v>585</v>
      </c>
      <c r="P394" s="6">
        <v>346</v>
      </c>
      <c r="Q394" s="6">
        <v>239</v>
      </c>
      <c r="R394" s="7">
        <v>71.779141104294482</v>
      </c>
      <c r="S394" s="7">
        <v>80.841121495327101</v>
      </c>
      <c r="T394" s="7">
        <v>61.75710594315246</v>
      </c>
      <c r="U394" s="15">
        <f t="shared" si="20"/>
        <v>2</v>
      </c>
    </row>
    <row r="395" spans="1:21" ht="18.75" customHeight="1">
      <c r="A395" s="16">
        <v>403</v>
      </c>
      <c r="B395" s="3">
        <v>40</v>
      </c>
      <c r="C395" s="4" t="s">
        <v>426</v>
      </c>
      <c r="D395" s="9" t="s">
        <v>441</v>
      </c>
      <c r="E395" s="5" t="s">
        <v>387</v>
      </c>
      <c r="F395" s="6">
        <v>202</v>
      </c>
      <c r="G395" s="6">
        <v>1079</v>
      </c>
      <c r="H395" s="6">
        <v>565</v>
      </c>
      <c r="I395" s="6">
        <v>514</v>
      </c>
      <c r="J395" s="17">
        <f t="shared" si="19"/>
        <v>909.73451327433634</v>
      </c>
      <c r="K395" s="6">
        <v>14</v>
      </c>
      <c r="L395" s="6">
        <v>7</v>
      </c>
      <c r="M395" s="6">
        <v>7</v>
      </c>
      <c r="N395" s="7">
        <f t="shared" si="18"/>
        <v>1.2974976830398517</v>
      </c>
      <c r="O395" s="6">
        <v>722</v>
      </c>
      <c r="P395" s="6">
        <v>426</v>
      </c>
      <c r="Q395" s="6">
        <v>296</v>
      </c>
      <c r="R395" s="7">
        <v>75.208333333333329</v>
      </c>
      <c r="S395" s="7">
        <v>84.860557768924309</v>
      </c>
      <c r="T395" s="7">
        <v>64.62882096069869</v>
      </c>
      <c r="U395" s="15">
        <f t="shared" si="20"/>
        <v>1</v>
      </c>
    </row>
    <row r="396" spans="1:21" ht="18.75" customHeight="1">
      <c r="A396" s="16">
        <v>404</v>
      </c>
      <c r="B396" s="3">
        <v>41</v>
      </c>
      <c r="C396" s="4" t="s">
        <v>427</v>
      </c>
      <c r="D396" s="9" t="s">
        <v>441</v>
      </c>
      <c r="E396" s="5" t="s">
        <v>387</v>
      </c>
      <c r="F396" s="6">
        <v>247</v>
      </c>
      <c r="G396" s="6">
        <v>1235</v>
      </c>
      <c r="H396" s="6">
        <v>653</v>
      </c>
      <c r="I396" s="6">
        <v>582</v>
      </c>
      <c r="J396" s="17">
        <f t="shared" si="19"/>
        <v>891.27105666156206</v>
      </c>
      <c r="K396" s="6">
        <v>324</v>
      </c>
      <c r="L396" s="6">
        <v>181</v>
      </c>
      <c r="M396" s="6">
        <v>143</v>
      </c>
      <c r="N396" s="7">
        <f t="shared" si="18"/>
        <v>26.234817813765183</v>
      </c>
      <c r="O396" s="6">
        <v>816</v>
      </c>
      <c r="P396" s="6">
        <v>475</v>
      </c>
      <c r="Q396" s="6">
        <v>341</v>
      </c>
      <c r="R396" s="7">
        <v>77.199621570482506</v>
      </c>
      <c r="S396" s="7">
        <v>85.278276481149021</v>
      </c>
      <c r="T396" s="7">
        <v>68.2</v>
      </c>
      <c r="U396" s="15">
        <f t="shared" si="20"/>
        <v>2</v>
      </c>
    </row>
    <row r="397" spans="1:21" ht="18.75" customHeight="1">
      <c r="A397" s="16">
        <v>405</v>
      </c>
      <c r="B397" s="3">
        <v>42</v>
      </c>
      <c r="C397" s="4" t="s">
        <v>428</v>
      </c>
      <c r="D397" s="9" t="s">
        <v>441</v>
      </c>
      <c r="E397" s="5" t="s">
        <v>387</v>
      </c>
      <c r="F397" s="6">
        <v>204</v>
      </c>
      <c r="G397" s="6">
        <v>1098</v>
      </c>
      <c r="H397" s="6">
        <v>570</v>
      </c>
      <c r="I397" s="6">
        <v>528</v>
      </c>
      <c r="J397" s="17">
        <f t="shared" si="19"/>
        <v>926.31578947368416</v>
      </c>
      <c r="K397" s="6">
        <v>518</v>
      </c>
      <c r="L397" s="6">
        <v>257</v>
      </c>
      <c r="M397" s="6">
        <v>261</v>
      </c>
      <c r="N397" s="7">
        <f t="shared" si="18"/>
        <v>47.176684881602917</v>
      </c>
      <c r="O397" s="6">
        <v>709</v>
      </c>
      <c r="P397" s="6">
        <v>414</v>
      </c>
      <c r="Q397" s="6">
        <v>295</v>
      </c>
      <c r="R397" s="7">
        <v>74.318658280922435</v>
      </c>
      <c r="S397" s="7">
        <v>81.980198019801975</v>
      </c>
      <c r="T397" s="7">
        <v>65.701559020044542</v>
      </c>
      <c r="U397" s="15">
        <f t="shared" si="20"/>
        <v>1</v>
      </c>
    </row>
    <row r="398" spans="1:21" ht="18.75" customHeight="1">
      <c r="A398" s="16">
        <v>406</v>
      </c>
      <c r="B398" s="3">
        <v>43</v>
      </c>
      <c r="C398" s="4" t="s">
        <v>429</v>
      </c>
      <c r="D398" s="9" t="s">
        <v>441</v>
      </c>
      <c r="E398" s="5" t="s">
        <v>387</v>
      </c>
      <c r="F398" s="6">
        <v>339</v>
      </c>
      <c r="G398" s="6">
        <v>1769</v>
      </c>
      <c r="H398" s="6">
        <v>930</v>
      </c>
      <c r="I398" s="6">
        <v>839</v>
      </c>
      <c r="J398" s="17">
        <f t="shared" si="19"/>
        <v>902.15053763440858</v>
      </c>
      <c r="K398" s="6">
        <v>727</v>
      </c>
      <c r="L398" s="6">
        <v>377</v>
      </c>
      <c r="M398" s="6">
        <v>350</v>
      </c>
      <c r="N398" s="7">
        <f t="shared" si="18"/>
        <v>41.096664782362922</v>
      </c>
      <c r="O398" s="6">
        <v>1201</v>
      </c>
      <c r="P398" s="6">
        <v>682</v>
      </c>
      <c r="Q398" s="6">
        <v>519</v>
      </c>
      <c r="R398" s="7">
        <v>77.433913604126374</v>
      </c>
      <c r="S398" s="7">
        <v>85.356695869837296</v>
      </c>
      <c r="T398" s="7">
        <v>69.0159574468085</v>
      </c>
      <c r="U398" s="15">
        <f t="shared" si="20"/>
        <v>1</v>
      </c>
    </row>
    <row r="399" spans="1:21" ht="18.75" customHeight="1">
      <c r="A399" s="16">
        <v>407</v>
      </c>
      <c r="B399" s="3">
        <v>44</v>
      </c>
      <c r="C399" s="4" t="s">
        <v>430</v>
      </c>
      <c r="D399" s="9" t="s">
        <v>441</v>
      </c>
      <c r="E399" s="5" t="s">
        <v>387</v>
      </c>
      <c r="F399" s="6">
        <v>177</v>
      </c>
      <c r="G399" s="6">
        <v>982</v>
      </c>
      <c r="H399" s="6">
        <v>503</v>
      </c>
      <c r="I399" s="6">
        <v>479</v>
      </c>
      <c r="J399" s="17">
        <f t="shared" si="19"/>
        <v>952.286282306163</v>
      </c>
      <c r="K399" s="6">
        <v>65</v>
      </c>
      <c r="L399" s="6">
        <v>32</v>
      </c>
      <c r="M399" s="6">
        <v>33</v>
      </c>
      <c r="N399" s="7">
        <f t="shared" si="18"/>
        <v>6.619144602851323</v>
      </c>
      <c r="O399" s="6">
        <v>657</v>
      </c>
      <c r="P399" s="6">
        <v>367</v>
      </c>
      <c r="Q399" s="6">
        <v>290</v>
      </c>
      <c r="R399" s="7">
        <v>75.171624713958806</v>
      </c>
      <c r="S399" s="7">
        <v>83.599088838268798</v>
      </c>
      <c r="T399" s="7">
        <v>66.666666666666657</v>
      </c>
      <c r="U399" s="15">
        <f t="shared" si="20"/>
        <v>1</v>
      </c>
    </row>
    <row r="400" spans="1:21" ht="18.75" customHeight="1">
      <c r="A400" s="16">
        <v>408</v>
      </c>
      <c r="B400" s="3">
        <v>45</v>
      </c>
      <c r="C400" s="4" t="s">
        <v>431</v>
      </c>
      <c r="D400" s="9" t="s">
        <v>441</v>
      </c>
      <c r="E400" s="5" t="s">
        <v>387</v>
      </c>
      <c r="F400" s="6">
        <v>46</v>
      </c>
      <c r="G400" s="6">
        <v>262</v>
      </c>
      <c r="H400" s="6">
        <v>143</v>
      </c>
      <c r="I400" s="6">
        <v>119</v>
      </c>
      <c r="J400" s="17">
        <f t="shared" si="19"/>
        <v>832.16783216783222</v>
      </c>
      <c r="K400" s="6">
        <v>72</v>
      </c>
      <c r="L400" s="6">
        <v>40</v>
      </c>
      <c r="M400" s="6">
        <v>32</v>
      </c>
      <c r="N400" s="7">
        <f t="shared" si="18"/>
        <v>27.480916030534353</v>
      </c>
      <c r="O400" s="6">
        <v>185</v>
      </c>
      <c r="P400" s="6">
        <v>111</v>
      </c>
      <c r="Q400" s="6">
        <v>74</v>
      </c>
      <c r="R400" s="7">
        <v>80.786026200873366</v>
      </c>
      <c r="S400" s="7">
        <v>87.4015748031496</v>
      </c>
      <c r="T400" s="7">
        <v>72.549019607843135</v>
      </c>
      <c r="U400" s="15">
        <f t="shared" si="20"/>
        <v>2</v>
      </c>
    </row>
    <row r="401" spans="1:21" ht="18.75" customHeight="1">
      <c r="A401" s="16">
        <v>409</v>
      </c>
      <c r="B401" s="3">
        <v>46</v>
      </c>
      <c r="C401" s="4" t="s">
        <v>432</v>
      </c>
      <c r="D401" s="9" t="s">
        <v>441</v>
      </c>
      <c r="E401" s="5" t="s">
        <v>387</v>
      </c>
      <c r="F401" s="6">
        <v>70</v>
      </c>
      <c r="G401" s="6">
        <v>377</v>
      </c>
      <c r="H401" s="6">
        <v>208</v>
      </c>
      <c r="I401" s="6">
        <v>169</v>
      </c>
      <c r="J401" s="17">
        <f t="shared" si="19"/>
        <v>812.5</v>
      </c>
      <c r="K401" s="6">
        <v>162</v>
      </c>
      <c r="L401" s="6">
        <v>90</v>
      </c>
      <c r="M401" s="6">
        <v>72</v>
      </c>
      <c r="N401" s="7">
        <f t="shared" si="18"/>
        <v>42.970822281167109</v>
      </c>
      <c r="O401" s="6">
        <v>234</v>
      </c>
      <c r="P401" s="6">
        <v>142</v>
      </c>
      <c r="Q401" s="6">
        <v>92</v>
      </c>
      <c r="R401" s="7">
        <v>70.481927710843379</v>
      </c>
      <c r="S401" s="7">
        <v>78.453038674033152</v>
      </c>
      <c r="T401" s="7">
        <v>60.927152317880797</v>
      </c>
      <c r="U401" s="15">
        <f t="shared" si="20"/>
        <v>2</v>
      </c>
    </row>
    <row r="402" spans="1:21" ht="18.75" customHeight="1">
      <c r="A402" s="16">
        <v>410</v>
      </c>
      <c r="B402" s="3">
        <v>47</v>
      </c>
      <c r="C402" s="4" t="s">
        <v>433</v>
      </c>
      <c r="D402" s="9" t="s">
        <v>441</v>
      </c>
      <c r="E402" s="5" t="s">
        <v>387</v>
      </c>
      <c r="F402" s="6">
        <v>601</v>
      </c>
      <c r="G402" s="6">
        <v>3315</v>
      </c>
      <c r="H402" s="6">
        <v>1783</v>
      </c>
      <c r="I402" s="6">
        <v>1532</v>
      </c>
      <c r="J402" s="17">
        <f t="shared" si="19"/>
        <v>859.22602355580477</v>
      </c>
      <c r="K402" s="6">
        <v>706</v>
      </c>
      <c r="L402" s="6">
        <v>387</v>
      </c>
      <c r="M402" s="6">
        <v>319</v>
      </c>
      <c r="N402" s="7">
        <f t="shared" si="18"/>
        <v>21.297134238310708</v>
      </c>
      <c r="O402" s="6">
        <v>2318</v>
      </c>
      <c r="P402" s="6">
        <v>1360</v>
      </c>
      <c r="Q402" s="6">
        <v>958</v>
      </c>
      <c r="R402" s="7">
        <v>78.231522105973667</v>
      </c>
      <c r="S402" s="7">
        <v>86.185044359949302</v>
      </c>
      <c r="T402" s="7">
        <v>69.169675090252696</v>
      </c>
      <c r="U402" s="15">
        <f t="shared" si="20"/>
        <v>2</v>
      </c>
    </row>
    <row r="403" spans="1:21" ht="18.75" customHeight="1">
      <c r="A403" s="16">
        <v>411</v>
      </c>
      <c r="B403" s="3">
        <v>48</v>
      </c>
      <c r="C403" s="4" t="s">
        <v>434</v>
      </c>
      <c r="D403" s="9" t="s">
        <v>441</v>
      </c>
      <c r="E403" s="5" t="s">
        <v>387</v>
      </c>
      <c r="F403" s="6">
        <v>635</v>
      </c>
      <c r="G403" s="6">
        <v>3163</v>
      </c>
      <c r="H403" s="6">
        <v>1677</v>
      </c>
      <c r="I403" s="6">
        <v>1486</v>
      </c>
      <c r="J403" s="17">
        <f t="shared" si="19"/>
        <v>886.10614192009541</v>
      </c>
      <c r="K403" s="6">
        <v>702</v>
      </c>
      <c r="L403" s="6">
        <v>377</v>
      </c>
      <c r="M403" s="6">
        <v>325</v>
      </c>
      <c r="N403" s="7">
        <f t="shared" si="18"/>
        <v>22.194119506797342</v>
      </c>
      <c r="O403" s="6">
        <v>2068</v>
      </c>
      <c r="P403" s="6">
        <v>1209</v>
      </c>
      <c r="Q403" s="6">
        <v>859</v>
      </c>
      <c r="R403" s="7">
        <v>74.684001444564828</v>
      </c>
      <c r="S403" s="7">
        <v>83.149931224209084</v>
      </c>
      <c r="T403" s="7">
        <v>65.323193916349808</v>
      </c>
      <c r="U403" s="15">
        <f t="shared" si="20"/>
        <v>2</v>
      </c>
    </row>
    <row r="404" spans="1:21" ht="18.75" customHeight="1">
      <c r="A404" s="16">
        <v>412</v>
      </c>
      <c r="B404" s="3">
        <v>49</v>
      </c>
      <c r="C404" s="4" t="s">
        <v>435</v>
      </c>
      <c r="D404" s="9" t="s">
        <v>441</v>
      </c>
      <c r="E404" s="5" t="s">
        <v>387</v>
      </c>
      <c r="F404" s="6">
        <v>93</v>
      </c>
      <c r="G404" s="6">
        <v>423</v>
      </c>
      <c r="H404" s="6">
        <v>237</v>
      </c>
      <c r="I404" s="6">
        <v>186</v>
      </c>
      <c r="J404" s="17">
        <f t="shared" si="19"/>
        <v>784.81012658227849</v>
      </c>
      <c r="K404" s="6">
        <v>39</v>
      </c>
      <c r="L404" s="6">
        <v>21</v>
      </c>
      <c r="M404" s="6">
        <v>18</v>
      </c>
      <c r="N404" s="7">
        <f t="shared" si="18"/>
        <v>9.2198581560283674</v>
      </c>
      <c r="O404" s="6">
        <v>252</v>
      </c>
      <c r="P404" s="6">
        <v>146</v>
      </c>
      <c r="Q404" s="6">
        <v>106</v>
      </c>
      <c r="R404" s="7">
        <v>65.968586387434556</v>
      </c>
      <c r="S404" s="7">
        <v>67.906976744186039</v>
      </c>
      <c r="T404" s="7">
        <v>63.473053892215567</v>
      </c>
      <c r="U404" s="15">
        <f t="shared" si="20"/>
        <v>3</v>
      </c>
    </row>
    <row r="405" spans="1:21" ht="18.75" customHeight="1">
      <c r="A405" s="16">
        <v>413</v>
      </c>
      <c r="B405" s="3">
        <v>50</v>
      </c>
      <c r="C405" s="4" t="s">
        <v>436</v>
      </c>
      <c r="D405" s="9" t="s">
        <v>441</v>
      </c>
      <c r="E405" s="5" t="s">
        <v>387</v>
      </c>
      <c r="F405" s="6">
        <v>1551</v>
      </c>
      <c r="G405" s="6">
        <v>8108</v>
      </c>
      <c r="H405" s="6">
        <v>4323</v>
      </c>
      <c r="I405" s="6">
        <v>3785</v>
      </c>
      <c r="J405" s="17">
        <f t="shared" si="19"/>
        <v>875.54938699976867</v>
      </c>
      <c r="K405" s="6">
        <v>1869</v>
      </c>
      <c r="L405" s="6">
        <v>994</v>
      </c>
      <c r="M405" s="6">
        <v>875</v>
      </c>
      <c r="N405" s="7">
        <f t="shared" si="18"/>
        <v>23.051307350764677</v>
      </c>
      <c r="O405" s="6">
        <v>5626</v>
      </c>
      <c r="P405" s="6">
        <v>3284</v>
      </c>
      <c r="Q405" s="6">
        <v>2342</v>
      </c>
      <c r="R405" s="7">
        <v>78.983574336655906</v>
      </c>
      <c r="S405" s="7">
        <v>87.201274561869354</v>
      </c>
      <c r="T405" s="7">
        <v>69.764670837056897</v>
      </c>
      <c r="U405" s="15">
        <f t="shared" si="20"/>
        <v>2</v>
      </c>
    </row>
    <row r="406" spans="1:21" ht="18.75" customHeight="1">
      <c r="A406" s="16">
        <v>414</v>
      </c>
      <c r="B406" s="3">
        <v>51</v>
      </c>
      <c r="C406" s="4" t="s">
        <v>437</v>
      </c>
      <c r="D406" s="9" t="s">
        <v>441</v>
      </c>
      <c r="E406" s="5" t="s">
        <v>387</v>
      </c>
      <c r="F406" s="6">
        <v>355</v>
      </c>
      <c r="G406" s="6">
        <v>1955</v>
      </c>
      <c r="H406" s="6">
        <v>1021</v>
      </c>
      <c r="I406" s="6">
        <v>934</v>
      </c>
      <c r="J406" s="17">
        <f t="shared" si="19"/>
        <v>914.78942213516154</v>
      </c>
      <c r="K406" s="6">
        <v>716</v>
      </c>
      <c r="L406" s="6">
        <v>364</v>
      </c>
      <c r="M406" s="6">
        <v>352</v>
      </c>
      <c r="N406" s="7">
        <f t="shared" si="18"/>
        <v>36.624040920716112</v>
      </c>
      <c r="O406" s="6">
        <v>989</v>
      </c>
      <c r="P406" s="6">
        <v>574</v>
      </c>
      <c r="Q406" s="6">
        <v>415</v>
      </c>
      <c r="R406" s="7">
        <v>60.158150851581503</v>
      </c>
      <c r="S406" s="7">
        <v>66.281755196304843</v>
      </c>
      <c r="T406" s="7">
        <v>53.341902313624679</v>
      </c>
      <c r="U406" s="15">
        <f t="shared" si="20"/>
        <v>1</v>
      </c>
    </row>
    <row r="407" spans="1:21" ht="18.75" customHeight="1">
      <c r="A407" s="24">
        <v>415</v>
      </c>
      <c r="B407" s="25">
        <v>52</v>
      </c>
      <c r="C407" s="26" t="s">
        <v>438</v>
      </c>
      <c r="D407" s="27" t="s">
        <v>441</v>
      </c>
      <c r="E407" s="28" t="s">
        <v>387</v>
      </c>
      <c r="F407" s="29">
        <v>187</v>
      </c>
      <c r="G407" s="29">
        <v>999</v>
      </c>
      <c r="H407" s="29">
        <v>528</v>
      </c>
      <c r="I407" s="29">
        <v>471</v>
      </c>
      <c r="J407" s="30">
        <f t="shared" si="19"/>
        <v>892.04545454545462</v>
      </c>
      <c r="K407" s="6">
        <v>327</v>
      </c>
      <c r="L407" s="6">
        <v>177</v>
      </c>
      <c r="M407" s="6">
        <v>150</v>
      </c>
      <c r="N407" s="7">
        <f t="shared" si="18"/>
        <v>32.732732732732735</v>
      </c>
      <c r="O407" s="6">
        <v>685</v>
      </c>
      <c r="P407" s="6">
        <v>380</v>
      </c>
      <c r="Q407" s="6">
        <v>305</v>
      </c>
      <c r="R407" s="7">
        <v>77.664399092970527</v>
      </c>
      <c r="S407" s="7">
        <v>81.896551724137936</v>
      </c>
      <c r="T407" s="7">
        <v>72.966507177033492</v>
      </c>
      <c r="U407" s="15">
        <f t="shared" si="20"/>
        <v>2</v>
      </c>
    </row>
  </sheetData>
  <conditionalFormatting sqref="U2:U407">
    <cfRule type="expression" dxfId="1" priority="3">
      <formula>"&gt;2"</formula>
    </cfRule>
  </conditionalFormatting>
  <conditionalFormatting sqref="C2:C91">
    <cfRule type="expression" dxfId="0" priority="1">
      <formula>AND(#REF!&lt;&gt;"",ISNUMBER(SEARCH(#REF!,C2)))</formula>
    </cfRule>
  </conditionalFormatting>
  <pageMargins left="0.7" right="0.7" top="0.75" bottom="0.75" header="0.3" footer="0.3"/>
  <pageSetup paperSize="5" scale="93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J426"/>
  <sheetViews>
    <sheetView workbookViewId="0">
      <selection activeCell="E12" sqref="E12:I20"/>
    </sheetView>
  </sheetViews>
  <sheetFormatPr defaultRowHeight="15"/>
  <cols>
    <col min="3" max="3" width="11.5703125" customWidth="1"/>
    <col min="4" max="4" width="16" customWidth="1"/>
    <col min="5" max="5" width="11.140625" customWidth="1"/>
    <col min="7" max="7" width="9.140625" style="31"/>
  </cols>
  <sheetData>
    <row r="2" spans="1:10" ht="21">
      <c r="C2" s="39" t="s">
        <v>7</v>
      </c>
      <c r="D2" s="39"/>
      <c r="E2" s="39"/>
      <c r="F2" s="39"/>
      <c r="G2" s="39"/>
      <c r="H2" s="39"/>
    </row>
    <row r="3" spans="1:10" ht="15.75">
      <c r="C3" s="32"/>
      <c r="D3" s="32"/>
      <c r="E3" s="40" t="s">
        <v>447</v>
      </c>
      <c r="F3" s="40"/>
      <c r="G3" s="40"/>
    </row>
    <row r="4" spans="1:10">
      <c r="C4" s="32"/>
      <c r="D4" s="32"/>
      <c r="E4" s="25" t="s">
        <v>448</v>
      </c>
      <c r="F4" s="25" t="s">
        <v>449</v>
      </c>
      <c r="G4" s="25" t="s">
        <v>450</v>
      </c>
    </row>
    <row r="5" spans="1:10" ht="18.75">
      <c r="C5" s="6" t="s">
        <v>443</v>
      </c>
      <c r="D5" s="3" t="s">
        <v>451</v>
      </c>
      <c r="E5" s="41">
        <v>500</v>
      </c>
      <c r="F5" s="42"/>
      <c r="G5" s="33">
        <f>COUNTIFS(Main_Data!$J$1:$J$407,"&lt;"&amp;E5)</f>
        <v>2</v>
      </c>
    </row>
    <row r="6" spans="1:10" ht="18.75">
      <c r="C6" s="6" t="s">
        <v>444</v>
      </c>
      <c r="D6" s="3" t="s">
        <v>452</v>
      </c>
      <c r="E6" s="3">
        <v>700</v>
      </c>
      <c r="F6" s="3">
        <v>850</v>
      </c>
      <c r="G6" s="33">
        <f>COUNTIFS(Main_Data!$J$1:$J$407,"&gt;="&amp;E6,Main_Data!$J$1:$J$407,"&lt;"&amp;F6)</f>
        <v>40</v>
      </c>
    </row>
    <row r="7" spans="1:10" ht="18.75">
      <c r="C7" s="6" t="s">
        <v>445</v>
      </c>
      <c r="D7" s="3" t="s">
        <v>452</v>
      </c>
      <c r="E7" s="3">
        <v>850</v>
      </c>
      <c r="F7" s="3">
        <v>900</v>
      </c>
      <c r="G7" s="33">
        <f>COUNTIFS(Main_Data!$J$1:$J$407,"&gt;="&amp;E7,Main_Data!$J$1:$J$407,"&lt;"&amp;F7)</f>
        <v>174</v>
      </c>
    </row>
    <row r="8" spans="1:10" ht="18.75">
      <c r="C8" s="6" t="s">
        <v>446</v>
      </c>
      <c r="D8" s="3" t="s">
        <v>452</v>
      </c>
      <c r="E8" s="41">
        <v>900</v>
      </c>
      <c r="F8" s="42"/>
      <c r="G8" s="33">
        <f>COUNTIFS(Main_Data!$J$1:$J$407,"&gt;="&amp;E8)</f>
        <v>188</v>
      </c>
    </row>
    <row r="11" spans="1:10" ht="38.25">
      <c r="A11" s="19" t="s">
        <v>440</v>
      </c>
      <c r="B11" s="20" t="s">
        <v>0</v>
      </c>
      <c r="C11" s="21" t="s">
        <v>1</v>
      </c>
      <c r="D11" s="21" t="s">
        <v>442</v>
      </c>
      <c r="E11" s="22" t="s">
        <v>2</v>
      </c>
      <c r="F11" s="21" t="s">
        <v>4</v>
      </c>
      <c r="G11" s="21" t="s">
        <v>5</v>
      </c>
      <c r="H11" s="21" t="s">
        <v>6</v>
      </c>
      <c r="I11" s="23" t="s">
        <v>7</v>
      </c>
      <c r="J11" s="2"/>
    </row>
    <row r="12" spans="1:10">
      <c r="A12" s="16">
        <v>1</v>
      </c>
      <c r="B12" s="3">
        <v>1</v>
      </c>
      <c r="C12" s="4" t="s">
        <v>17</v>
      </c>
      <c r="D12" s="9" t="s">
        <v>441</v>
      </c>
      <c r="E12" s="5" t="s">
        <v>18</v>
      </c>
      <c r="F12" s="6">
        <v>2211</v>
      </c>
      <c r="G12" s="6">
        <v>1189</v>
      </c>
      <c r="H12" s="6">
        <v>1022</v>
      </c>
      <c r="I12" s="17">
        <f t="shared" ref="I12:I75" si="0">H12/G12*1000</f>
        <v>859.54583683767873</v>
      </c>
      <c r="J12" s="15">
        <f>IF($I12&gt;900,1,IF($I12&gt;800,2,IF($I12&gt;700,3,0)))</f>
        <v>2</v>
      </c>
    </row>
    <row r="13" spans="1:10">
      <c r="A13" s="16">
        <v>2</v>
      </c>
      <c r="B13" s="3">
        <v>2</v>
      </c>
      <c r="C13" s="4" t="s">
        <v>19</v>
      </c>
      <c r="D13" s="9" t="s">
        <v>441</v>
      </c>
      <c r="E13" s="5" t="s">
        <v>18</v>
      </c>
      <c r="F13" s="6">
        <v>5457</v>
      </c>
      <c r="G13" s="6">
        <v>2852</v>
      </c>
      <c r="H13" s="6">
        <v>2605</v>
      </c>
      <c r="I13" s="17">
        <f t="shared" si="0"/>
        <v>913.39410939691447</v>
      </c>
      <c r="J13" s="15">
        <f t="shared" ref="J13:J76" si="1">IF($I13&gt;900,1,IF($I13&gt;800,2,IF($I13&gt;700,3,0)))</f>
        <v>1</v>
      </c>
    </row>
    <row r="14" spans="1:10">
      <c r="A14" s="16">
        <v>3</v>
      </c>
      <c r="B14" s="3">
        <v>3</v>
      </c>
      <c r="C14" s="4" t="s">
        <v>20</v>
      </c>
      <c r="D14" s="9" t="s">
        <v>441</v>
      </c>
      <c r="E14" s="5" t="s">
        <v>18</v>
      </c>
      <c r="F14" s="6">
        <v>1670</v>
      </c>
      <c r="G14" s="6">
        <v>892</v>
      </c>
      <c r="H14" s="6">
        <v>778</v>
      </c>
      <c r="I14" s="17">
        <f t="shared" si="0"/>
        <v>872.19730941704029</v>
      </c>
      <c r="J14" s="15">
        <f t="shared" si="1"/>
        <v>2</v>
      </c>
    </row>
    <row r="15" spans="1:10">
      <c r="A15" s="16">
        <v>4</v>
      </c>
      <c r="B15" s="3">
        <v>4</v>
      </c>
      <c r="C15" s="4" t="s">
        <v>21</v>
      </c>
      <c r="D15" s="9" t="s">
        <v>441</v>
      </c>
      <c r="E15" s="5" t="s">
        <v>18</v>
      </c>
      <c r="F15" s="6">
        <v>1074</v>
      </c>
      <c r="G15" s="6">
        <v>557</v>
      </c>
      <c r="H15" s="6">
        <v>517</v>
      </c>
      <c r="I15" s="17">
        <f t="shared" si="0"/>
        <v>928.18671454219032</v>
      </c>
      <c r="J15" s="15">
        <f t="shared" si="1"/>
        <v>1</v>
      </c>
    </row>
    <row r="16" spans="1:10">
      <c r="A16" s="16">
        <v>5</v>
      </c>
      <c r="B16" s="3">
        <v>5</v>
      </c>
      <c r="C16" s="4" t="s">
        <v>22</v>
      </c>
      <c r="D16" s="9" t="s">
        <v>441</v>
      </c>
      <c r="E16" s="5" t="s">
        <v>18</v>
      </c>
      <c r="F16" s="6">
        <v>8167</v>
      </c>
      <c r="G16" s="6">
        <v>4333</v>
      </c>
      <c r="H16" s="6">
        <v>3834</v>
      </c>
      <c r="I16" s="17">
        <f t="shared" si="0"/>
        <v>884.83729517655206</v>
      </c>
      <c r="J16" s="15">
        <f t="shared" si="1"/>
        <v>2</v>
      </c>
    </row>
    <row r="17" spans="1:10">
      <c r="A17" s="16">
        <v>6</v>
      </c>
      <c r="B17" s="3">
        <v>6</v>
      </c>
      <c r="C17" s="4" t="s">
        <v>23</v>
      </c>
      <c r="D17" s="9" t="s">
        <v>441</v>
      </c>
      <c r="E17" s="5" t="s">
        <v>18</v>
      </c>
      <c r="F17" s="6">
        <v>2238</v>
      </c>
      <c r="G17" s="6">
        <v>1146</v>
      </c>
      <c r="H17" s="6">
        <v>1092</v>
      </c>
      <c r="I17" s="17">
        <f t="shared" si="0"/>
        <v>952.87958115183244</v>
      </c>
      <c r="J17" s="15">
        <f t="shared" si="1"/>
        <v>1</v>
      </c>
    </row>
    <row r="18" spans="1:10">
      <c r="A18" s="16">
        <v>7</v>
      </c>
      <c r="B18" s="3">
        <v>7</v>
      </c>
      <c r="C18" s="4" t="s">
        <v>24</v>
      </c>
      <c r="D18" s="9" t="s">
        <v>441</v>
      </c>
      <c r="E18" s="5" t="s">
        <v>18</v>
      </c>
      <c r="F18" s="6">
        <v>2049</v>
      </c>
      <c r="G18" s="6">
        <v>1079</v>
      </c>
      <c r="H18" s="6">
        <v>970</v>
      </c>
      <c r="I18" s="17">
        <f t="shared" si="0"/>
        <v>898.98053753475438</v>
      </c>
      <c r="J18" s="15">
        <f t="shared" si="1"/>
        <v>2</v>
      </c>
    </row>
    <row r="19" spans="1:10">
      <c r="A19" s="16">
        <v>8</v>
      </c>
      <c r="B19" s="3">
        <v>8</v>
      </c>
      <c r="C19" s="4" t="s">
        <v>25</v>
      </c>
      <c r="D19" s="9" t="s">
        <v>441</v>
      </c>
      <c r="E19" s="5" t="s">
        <v>18</v>
      </c>
      <c r="F19" s="6">
        <v>4784</v>
      </c>
      <c r="G19" s="6">
        <v>2536</v>
      </c>
      <c r="H19" s="6">
        <v>2248</v>
      </c>
      <c r="I19" s="17">
        <f t="shared" si="0"/>
        <v>886.43533123028396</v>
      </c>
      <c r="J19" s="15">
        <f t="shared" si="1"/>
        <v>2</v>
      </c>
    </row>
    <row r="20" spans="1:10">
      <c r="A20" s="16">
        <v>9</v>
      </c>
      <c r="B20" s="3">
        <v>9</v>
      </c>
      <c r="C20" s="4" t="s">
        <v>26</v>
      </c>
      <c r="D20" s="9" t="s">
        <v>441</v>
      </c>
      <c r="E20" s="5" t="s">
        <v>18</v>
      </c>
      <c r="F20" s="6">
        <v>1116</v>
      </c>
      <c r="G20" s="6">
        <v>598</v>
      </c>
      <c r="H20" s="6">
        <v>518</v>
      </c>
      <c r="I20" s="17">
        <f t="shared" si="0"/>
        <v>866.22073578595314</v>
      </c>
      <c r="J20" s="15">
        <f t="shared" si="1"/>
        <v>2</v>
      </c>
    </row>
    <row r="21" spans="1:10">
      <c r="A21" s="16">
        <v>10</v>
      </c>
      <c r="B21" s="3">
        <v>10</v>
      </c>
      <c r="C21" s="4" t="s">
        <v>27</v>
      </c>
      <c r="D21" s="9" t="s">
        <v>441</v>
      </c>
      <c r="E21" s="5" t="s">
        <v>18</v>
      </c>
      <c r="F21" s="6">
        <v>6095</v>
      </c>
      <c r="G21" s="6">
        <v>3154</v>
      </c>
      <c r="H21" s="6">
        <v>2941</v>
      </c>
      <c r="I21" s="17">
        <f t="shared" si="0"/>
        <v>932.46670894102726</v>
      </c>
      <c r="J21" s="15">
        <f t="shared" si="1"/>
        <v>1</v>
      </c>
    </row>
    <row r="22" spans="1:10">
      <c r="A22" s="16">
        <v>11</v>
      </c>
      <c r="B22" s="3">
        <v>11</v>
      </c>
      <c r="C22" s="4" t="s">
        <v>28</v>
      </c>
      <c r="D22" s="9" t="s">
        <v>441</v>
      </c>
      <c r="E22" s="5" t="s">
        <v>18</v>
      </c>
      <c r="F22" s="6">
        <v>3163</v>
      </c>
      <c r="G22" s="6">
        <v>1690</v>
      </c>
      <c r="H22" s="6">
        <v>1473</v>
      </c>
      <c r="I22" s="17">
        <f t="shared" si="0"/>
        <v>871.59763313609471</v>
      </c>
      <c r="J22" s="15">
        <f t="shared" si="1"/>
        <v>2</v>
      </c>
    </row>
    <row r="23" spans="1:10">
      <c r="A23" s="16">
        <v>12</v>
      </c>
      <c r="B23" s="3">
        <v>12</v>
      </c>
      <c r="C23" s="4" t="s">
        <v>29</v>
      </c>
      <c r="D23" s="9" t="s">
        <v>441</v>
      </c>
      <c r="E23" s="5" t="s">
        <v>18</v>
      </c>
      <c r="F23" s="6">
        <v>1538</v>
      </c>
      <c r="G23" s="6">
        <v>812</v>
      </c>
      <c r="H23" s="6">
        <v>726</v>
      </c>
      <c r="I23" s="17">
        <f t="shared" si="0"/>
        <v>894.0886699507389</v>
      </c>
      <c r="J23" s="15">
        <f t="shared" si="1"/>
        <v>2</v>
      </c>
    </row>
    <row r="24" spans="1:10">
      <c r="A24" s="16">
        <v>13</v>
      </c>
      <c r="B24" s="3">
        <v>13</v>
      </c>
      <c r="C24" s="4" t="s">
        <v>30</v>
      </c>
      <c r="D24" s="9" t="s">
        <v>441</v>
      </c>
      <c r="E24" s="5" t="s">
        <v>18</v>
      </c>
      <c r="F24" s="6">
        <v>1422</v>
      </c>
      <c r="G24" s="6">
        <v>773</v>
      </c>
      <c r="H24" s="6">
        <v>649</v>
      </c>
      <c r="I24" s="17">
        <f t="shared" si="0"/>
        <v>839.58602846054328</v>
      </c>
      <c r="J24" s="15">
        <f t="shared" si="1"/>
        <v>2</v>
      </c>
    </row>
    <row r="25" spans="1:10">
      <c r="A25" s="16">
        <v>14</v>
      </c>
      <c r="B25" s="3">
        <v>14</v>
      </c>
      <c r="C25" s="4" t="s">
        <v>31</v>
      </c>
      <c r="D25" s="9" t="s">
        <v>441</v>
      </c>
      <c r="E25" s="5" t="s">
        <v>18</v>
      </c>
      <c r="F25" s="6">
        <v>1575</v>
      </c>
      <c r="G25" s="6">
        <v>836</v>
      </c>
      <c r="H25" s="6">
        <v>739</v>
      </c>
      <c r="I25" s="17">
        <f t="shared" si="0"/>
        <v>883.97129186602876</v>
      </c>
      <c r="J25" s="15">
        <f t="shared" si="1"/>
        <v>2</v>
      </c>
    </row>
    <row r="26" spans="1:10">
      <c r="A26" s="16">
        <v>15</v>
      </c>
      <c r="B26" s="3">
        <v>15</v>
      </c>
      <c r="C26" s="4" t="s">
        <v>32</v>
      </c>
      <c r="D26" s="9" t="s">
        <v>441</v>
      </c>
      <c r="E26" s="5" t="s">
        <v>18</v>
      </c>
      <c r="F26" s="6">
        <v>1811</v>
      </c>
      <c r="G26" s="6">
        <v>963</v>
      </c>
      <c r="H26" s="6">
        <v>848</v>
      </c>
      <c r="I26" s="17">
        <f t="shared" si="0"/>
        <v>880.58151609553477</v>
      </c>
      <c r="J26" s="15">
        <f t="shared" si="1"/>
        <v>2</v>
      </c>
    </row>
    <row r="27" spans="1:10">
      <c r="A27" s="16">
        <v>16</v>
      </c>
      <c r="B27" s="3">
        <v>16</v>
      </c>
      <c r="C27" s="4" t="s">
        <v>33</v>
      </c>
      <c r="D27" s="9" t="s">
        <v>441</v>
      </c>
      <c r="E27" s="5" t="s">
        <v>18</v>
      </c>
      <c r="F27" s="6">
        <v>756</v>
      </c>
      <c r="G27" s="6">
        <v>399</v>
      </c>
      <c r="H27" s="6">
        <v>357</v>
      </c>
      <c r="I27" s="17">
        <f t="shared" si="0"/>
        <v>894.73684210526312</v>
      </c>
      <c r="J27" s="15">
        <f t="shared" si="1"/>
        <v>2</v>
      </c>
    </row>
    <row r="28" spans="1:10">
      <c r="A28" s="16">
        <v>17</v>
      </c>
      <c r="B28" s="3">
        <v>17</v>
      </c>
      <c r="C28" s="4" t="s">
        <v>34</v>
      </c>
      <c r="D28" s="9" t="s">
        <v>441</v>
      </c>
      <c r="E28" s="5" t="s">
        <v>18</v>
      </c>
      <c r="F28" s="6">
        <v>1513</v>
      </c>
      <c r="G28" s="6">
        <v>810</v>
      </c>
      <c r="H28" s="6">
        <v>703</v>
      </c>
      <c r="I28" s="17">
        <f t="shared" si="0"/>
        <v>867.90123456790127</v>
      </c>
      <c r="J28" s="15">
        <f t="shared" si="1"/>
        <v>2</v>
      </c>
    </row>
    <row r="29" spans="1:10">
      <c r="A29" s="16">
        <v>18</v>
      </c>
      <c r="B29" s="3">
        <v>18</v>
      </c>
      <c r="C29" s="4" t="s">
        <v>35</v>
      </c>
      <c r="D29" s="9" t="s">
        <v>441</v>
      </c>
      <c r="E29" s="5" t="s">
        <v>18</v>
      </c>
      <c r="F29" s="6">
        <v>2392</v>
      </c>
      <c r="G29" s="6">
        <v>1256</v>
      </c>
      <c r="H29" s="6">
        <v>1136</v>
      </c>
      <c r="I29" s="17">
        <f t="shared" si="0"/>
        <v>904.4585987261147</v>
      </c>
      <c r="J29" s="15">
        <f t="shared" si="1"/>
        <v>1</v>
      </c>
    </row>
    <row r="30" spans="1:10">
      <c r="A30" s="16">
        <v>19</v>
      </c>
      <c r="B30" s="3">
        <v>19</v>
      </c>
      <c r="C30" s="4" t="s">
        <v>36</v>
      </c>
      <c r="D30" s="9" t="s">
        <v>441</v>
      </c>
      <c r="E30" s="5" t="s">
        <v>18</v>
      </c>
      <c r="F30" s="6">
        <v>449</v>
      </c>
      <c r="G30" s="6">
        <v>250</v>
      </c>
      <c r="H30" s="6">
        <v>199</v>
      </c>
      <c r="I30" s="17">
        <f t="shared" si="0"/>
        <v>796</v>
      </c>
      <c r="J30" s="15">
        <f t="shared" si="1"/>
        <v>3</v>
      </c>
    </row>
    <row r="31" spans="1:10">
      <c r="A31" s="16">
        <v>20</v>
      </c>
      <c r="B31" s="3">
        <v>20</v>
      </c>
      <c r="C31" s="4" t="s">
        <v>37</v>
      </c>
      <c r="D31" s="9" t="s">
        <v>441</v>
      </c>
      <c r="E31" s="5" t="s">
        <v>18</v>
      </c>
      <c r="F31" s="6">
        <v>667</v>
      </c>
      <c r="G31" s="6">
        <v>356</v>
      </c>
      <c r="H31" s="6">
        <v>311</v>
      </c>
      <c r="I31" s="17">
        <f t="shared" si="0"/>
        <v>873.59550561797755</v>
      </c>
      <c r="J31" s="15">
        <f t="shared" si="1"/>
        <v>2</v>
      </c>
    </row>
    <row r="32" spans="1:10">
      <c r="A32" s="16">
        <v>21</v>
      </c>
      <c r="B32" s="3">
        <v>21</v>
      </c>
      <c r="C32" s="8" t="s">
        <v>38</v>
      </c>
      <c r="D32" s="9" t="s">
        <v>441</v>
      </c>
      <c r="E32" s="5" t="s">
        <v>18</v>
      </c>
      <c r="F32" s="6">
        <v>0</v>
      </c>
      <c r="G32" s="6">
        <v>0</v>
      </c>
      <c r="H32" s="6">
        <v>0</v>
      </c>
      <c r="I32" s="17" t="e">
        <f t="shared" si="0"/>
        <v>#DIV/0!</v>
      </c>
      <c r="J32" s="15" t="e">
        <f t="shared" si="1"/>
        <v>#DIV/0!</v>
      </c>
    </row>
    <row r="33" spans="1:10">
      <c r="A33" s="16">
        <v>22</v>
      </c>
      <c r="B33" s="3">
        <v>22</v>
      </c>
      <c r="C33" s="4" t="s">
        <v>39</v>
      </c>
      <c r="D33" s="9" t="s">
        <v>441</v>
      </c>
      <c r="E33" s="5" t="s">
        <v>18</v>
      </c>
      <c r="F33" s="6">
        <v>1040</v>
      </c>
      <c r="G33" s="6">
        <v>533</v>
      </c>
      <c r="H33" s="6">
        <v>507</v>
      </c>
      <c r="I33" s="17">
        <f t="shared" si="0"/>
        <v>951.21951219512187</v>
      </c>
      <c r="J33" s="15">
        <f t="shared" si="1"/>
        <v>1</v>
      </c>
    </row>
    <row r="34" spans="1:10">
      <c r="A34" s="16">
        <v>23</v>
      </c>
      <c r="B34" s="3">
        <v>23</v>
      </c>
      <c r="C34" s="4" t="s">
        <v>40</v>
      </c>
      <c r="D34" s="9" t="s">
        <v>441</v>
      </c>
      <c r="E34" s="5" t="s">
        <v>18</v>
      </c>
      <c r="F34" s="6">
        <v>4358</v>
      </c>
      <c r="G34" s="6">
        <v>2300</v>
      </c>
      <c r="H34" s="6">
        <v>2058</v>
      </c>
      <c r="I34" s="17">
        <f t="shared" si="0"/>
        <v>894.78260869565213</v>
      </c>
      <c r="J34" s="15">
        <f t="shared" si="1"/>
        <v>2</v>
      </c>
    </row>
    <row r="35" spans="1:10">
      <c r="A35" s="16">
        <v>24</v>
      </c>
      <c r="B35" s="3">
        <v>24</v>
      </c>
      <c r="C35" s="4" t="s">
        <v>41</v>
      </c>
      <c r="D35" s="9" t="s">
        <v>441</v>
      </c>
      <c r="E35" s="5" t="s">
        <v>18</v>
      </c>
      <c r="F35" s="6">
        <v>2345</v>
      </c>
      <c r="G35" s="6">
        <v>1222</v>
      </c>
      <c r="H35" s="6">
        <v>1123</v>
      </c>
      <c r="I35" s="17">
        <f t="shared" si="0"/>
        <v>918.98527004909977</v>
      </c>
      <c r="J35" s="15">
        <f t="shared" si="1"/>
        <v>1</v>
      </c>
    </row>
    <row r="36" spans="1:10">
      <c r="A36" s="16">
        <v>25</v>
      </c>
      <c r="B36" s="3">
        <v>25</v>
      </c>
      <c r="C36" s="4" t="s">
        <v>42</v>
      </c>
      <c r="D36" s="9" t="s">
        <v>441</v>
      </c>
      <c r="E36" s="5" t="s">
        <v>18</v>
      </c>
      <c r="F36" s="6">
        <v>1696</v>
      </c>
      <c r="G36" s="6">
        <v>898</v>
      </c>
      <c r="H36" s="6">
        <v>798</v>
      </c>
      <c r="I36" s="17">
        <f t="shared" si="0"/>
        <v>888.641425389755</v>
      </c>
      <c r="J36" s="15">
        <f t="shared" si="1"/>
        <v>2</v>
      </c>
    </row>
    <row r="37" spans="1:10">
      <c r="A37" s="16">
        <v>26</v>
      </c>
      <c r="B37" s="3">
        <v>26</v>
      </c>
      <c r="C37" s="4" t="s">
        <v>43</v>
      </c>
      <c r="D37" s="9" t="s">
        <v>441</v>
      </c>
      <c r="E37" s="5" t="s">
        <v>18</v>
      </c>
      <c r="F37" s="6">
        <v>597</v>
      </c>
      <c r="G37" s="6">
        <v>327</v>
      </c>
      <c r="H37" s="6">
        <v>270</v>
      </c>
      <c r="I37" s="17">
        <f t="shared" si="0"/>
        <v>825.6880733944954</v>
      </c>
      <c r="J37" s="15">
        <f t="shared" si="1"/>
        <v>2</v>
      </c>
    </row>
    <row r="38" spans="1:10">
      <c r="A38" s="16">
        <v>27</v>
      </c>
      <c r="B38" s="3">
        <v>27</v>
      </c>
      <c r="C38" s="4" t="s">
        <v>44</v>
      </c>
      <c r="D38" s="9" t="s">
        <v>441</v>
      </c>
      <c r="E38" s="5" t="s">
        <v>18</v>
      </c>
      <c r="F38" s="6">
        <v>2279</v>
      </c>
      <c r="G38" s="6">
        <v>1210</v>
      </c>
      <c r="H38" s="6">
        <v>1069</v>
      </c>
      <c r="I38" s="17">
        <f t="shared" si="0"/>
        <v>883.47107438016531</v>
      </c>
      <c r="J38" s="15">
        <f t="shared" si="1"/>
        <v>2</v>
      </c>
    </row>
    <row r="39" spans="1:10">
      <c r="A39" s="16">
        <v>28</v>
      </c>
      <c r="B39" s="3">
        <v>28</v>
      </c>
      <c r="C39" s="4" t="s">
        <v>45</v>
      </c>
      <c r="D39" s="9" t="s">
        <v>441</v>
      </c>
      <c r="E39" s="5" t="s">
        <v>18</v>
      </c>
      <c r="F39" s="6">
        <v>30</v>
      </c>
      <c r="G39" s="6">
        <v>20</v>
      </c>
      <c r="H39" s="6">
        <v>10</v>
      </c>
      <c r="I39" s="17">
        <f t="shared" si="0"/>
        <v>500</v>
      </c>
      <c r="J39" s="15">
        <f t="shared" si="1"/>
        <v>0</v>
      </c>
    </row>
    <row r="40" spans="1:10">
      <c r="A40" s="16">
        <v>29</v>
      </c>
      <c r="B40" s="3">
        <v>29</v>
      </c>
      <c r="C40" s="4" t="s">
        <v>46</v>
      </c>
      <c r="D40" s="9" t="s">
        <v>441</v>
      </c>
      <c r="E40" s="5" t="s">
        <v>18</v>
      </c>
      <c r="F40" s="6">
        <v>1390</v>
      </c>
      <c r="G40" s="6">
        <v>728</v>
      </c>
      <c r="H40" s="6">
        <v>662</v>
      </c>
      <c r="I40" s="17">
        <f t="shared" si="0"/>
        <v>909.34065934065939</v>
      </c>
      <c r="J40" s="15">
        <f t="shared" si="1"/>
        <v>1</v>
      </c>
    </row>
    <row r="41" spans="1:10">
      <c r="A41" s="16">
        <v>30</v>
      </c>
      <c r="B41" s="3">
        <v>30</v>
      </c>
      <c r="C41" s="4" t="s">
        <v>47</v>
      </c>
      <c r="D41" s="9" t="s">
        <v>441</v>
      </c>
      <c r="E41" s="5" t="s">
        <v>18</v>
      </c>
      <c r="F41" s="6">
        <v>1180</v>
      </c>
      <c r="G41" s="6">
        <v>587</v>
      </c>
      <c r="H41" s="6">
        <v>593</v>
      </c>
      <c r="I41" s="17">
        <f t="shared" si="0"/>
        <v>1010.221465076661</v>
      </c>
      <c r="J41" s="15">
        <f t="shared" si="1"/>
        <v>1</v>
      </c>
    </row>
    <row r="42" spans="1:10">
      <c r="A42" s="16">
        <v>31</v>
      </c>
      <c r="B42" s="3">
        <v>31</v>
      </c>
      <c r="C42" s="4" t="s">
        <v>48</v>
      </c>
      <c r="D42" s="9" t="s">
        <v>441</v>
      </c>
      <c r="E42" s="5" t="s">
        <v>18</v>
      </c>
      <c r="F42" s="6">
        <v>4404</v>
      </c>
      <c r="G42" s="6">
        <v>2306</v>
      </c>
      <c r="H42" s="6">
        <v>2098</v>
      </c>
      <c r="I42" s="17">
        <f t="shared" si="0"/>
        <v>909.80052038161318</v>
      </c>
      <c r="J42" s="15">
        <f t="shared" si="1"/>
        <v>1</v>
      </c>
    </row>
    <row r="43" spans="1:10">
      <c r="A43" s="16">
        <v>32</v>
      </c>
      <c r="B43" s="3">
        <v>32</v>
      </c>
      <c r="C43" s="4" t="s">
        <v>49</v>
      </c>
      <c r="D43" s="9" t="s">
        <v>441</v>
      </c>
      <c r="E43" s="5" t="s">
        <v>18</v>
      </c>
      <c r="F43" s="6">
        <v>1097</v>
      </c>
      <c r="G43" s="6">
        <v>574</v>
      </c>
      <c r="H43" s="6">
        <v>523</v>
      </c>
      <c r="I43" s="17">
        <f t="shared" si="0"/>
        <v>911.14982578397212</v>
      </c>
      <c r="J43" s="15">
        <f t="shared" si="1"/>
        <v>1</v>
      </c>
    </row>
    <row r="44" spans="1:10">
      <c r="A44" s="16">
        <v>33</v>
      </c>
      <c r="B44" s="3">
        <v>33</v>
      </c>
      <c r="C44" s="4" t="s">
        <v>50</v>
      </c>
      <c r="D44" s="9" t="s">
        <v>441</v>
      </c>
      <c r="E44" s="5" t="s">
        <v>18</v>
      </c>
      <c r="F44" s="6">
        <v>293</v>
      </c>
      <c r="G44" s="6">
        <v>149</v>
      </c>
      <c r="H44" s="6">
        <v>144</v>
      </c>
      <c r="I44" s="17">
        <f t="shared" si="0"/>
        <v>966.44295302013427</v>
      </c>
      <c r="J44" s="15">
        <f t="shared" si="1"/>
        <v>1</v>
      </c>
    </row>
    <row r="45" spans="1:10">
      <c r="A45" s="16">
        <v>34</v>
      </c>
      <c r="B45" s="3">
        <v>34</v>
      </c>
      <c r="C45" s="4" t="s">
        <v>51</v>
      </c>
      <c r="D45" s="9" t="s">
        <v>441</v>
      </c>
      <c r="E45" s="5" t="s">
        <v>18</v>
      </c>
      <c r="F45" s="6">
        <v>751</v>
      </c>
      <c r="G45" s="6">
        <v>407</v>
      </c>
      <c r="H45" s="6">
        <v>344</v>
      </c>
      <c r="I45" s="17">
        <f t="shared" si="0"/>
        <v>845.20884520884522</v>
      </c>
      <c r="J45" s="15">
        <f t="shared" si="1"/>
        <v>2</v>
      </c>
    </row>
    <row r="46" spans="1:10">
      <c r="A46" s="16">
        <v>35</v>
      </c>
      <c r="B46" s="3">
        <v>35</v>
      </c>
      <c r="C46" s="4" t="s">
        <v>52</v>
      </c>
      <c r="D46" s="9" t="s">
        <v>441</v>
      </c>
      <c r="E46" s="5" t="s">
        <v>18</v>
      </c>
      <c r="F46" s="6">
        <v>1146</v>
      </c>
      <c r="G46" s="6">
        <v>592</v>
      </c>
      <c r="H46" s="6">
        <v>554</v>
      </c>
      <c r="I46" s="17">
        <f t="shared" si="0"/>
        <v>935.81081081081084</v>
      </c>
      <c r="J46" s="15">
        <f t="shared" si="1"/>
        <v>1</v>
      </c>
    </row>
    <row r="47" spans="1:10">
      <c r="A47" s="16">
        <v>36</v>
      </c>
      <c r="B47" s="3">
        <v>36</v>
      </c>
      <c r="C47" s="4" t="s">
        <v>53</v>
      </c>
      <c r="D47" s="9" t="s">
        <v>441</v>
      </c>
      <c r="E47" s="5" t="s">
        <v>18</v>
      </c>
      <c r="F47" s="6">
        <v>1615</v>
      </c>
      <c r="G47" s="6">
        <v>868</v>
      </c>
      <c r="H47" s="6">
        <v>747</v>
      </c>
      <c r="I47" s="17">
        <f t="shared" si="0"/>
        <v>860.59907834101375</v>
      </c>
      <c r="J47" s="15">
        <f t="shared" si="1"/>
        <v>2</v>
      </c>
    </row>
    <row r="48" spans="1:10">
      <c r="A48" s="16">
        <v>37</v>
      </c>
      <c r="B48" s="3">
        <v>37</v>
      </c>
      <c r="C48" s="4" t="s">
        <v>54</v>
      </c>
      <c r="D48" s="9" t="s">
        <v>441</v>
      </c>
      <c r="E48" s="5" t="s">
        <v>18</v>
      </c>
      <c r="F48" s="6">
        <v>6485</v>
      </c>
      <c r="G48" s="6">
        <v>3364</v>
      </c>
      <c r="H48" s="6">
        <v>3121</v>
      </c>
      <c r="I48" s="17">
        <f t="shared" si="0"/>
        <v>927.76456599286564</v>
      </c>
      <c r="J48" s="15">
        <f t="shared" si="1"/>
        <v>1</v>
      </c>
    </row>
    <row r="49" spans="1:10">
      <c r="A49" s="16">
        <v>38</v>
      </c>
      <c r="B49" s="3">
        <v>38</v>
      </c>
      <c r="C49" s="4" t="s">
        <v>55</v>
      </c>
      <c r="D49" s="9" t="s">
        <v>441</v>
      </c>
      <c r="E49" s="5" t="s">
        <v>18</v>
      </c>
      <c r="F49" s="6">
        <v>2798</v>
      </c>
      <c r="G49" s="6">
        <v>1476</v>
      </c>
      <c r="H49" s="6">
        <v>1322</v>
      </c>
      <c r="I49" s="17">
        <f t="shared" si="0"/>
        <v>895.66395663956644</v>
      </c>
      <c r="J49" s="15">
        <f t="shared" si="1"/>
        <v>2</v>
      </c>
    </row>
    <row r="50" spans="1:10">
      <c r="A50" s="16">
        <v>39</v>
      </c>
      <c r="B50" s="3">
        <v>39</v>
      </c>
      <c r="C50" s="4" t="s">
        <v>56</v>
      </c>
      <c r="D50" s="9" t="s">
        <v>441</v>
      </c>
      <c r="E50" s="5" t="s">
        <v>18</v>
      </c>
      <c r="F50" s="6">
        <v>328</v>
      </c>
      <c r="G50" s="6">
        <v>164</v>
      </c>
      <c r="H50" s="6">
        <v>164</v>
      </c>
      <c r="I50" s="17">
        <f t="shared" si="0"/>
        <v>1000</v>
      </c>
      <c r="J50" s="15">
        <f t="shared" si="1"/>
        <v>1</v>
      </c>
    </row>
    <row r="51" spans="1:10">
      <c r="A51" s="16">
        <v>40</v>
      </c>
      <c r="B51" s="3">
        <v>40</v>
      </c>
      <c r="C51" s="4" t="s">
        <v>57</v>
      </c>
      <c r="D51" s="9" t="s">
        <v>441</v>
      </c>
      <c r="E51" s="5" t="s">
        <v>18</v>
      </c>
      <c r="F51" s="6">
        <v>1264</v>
      </c>
      <c r="G51" s="6">
        <v>656</v>
      </c>
      <c r="H51" s="6">
        <v>608</v>
      </c>
      <c r="I51" s="17">
        <f t="shared" si="0"/>
        <v>926.82926829268297</v>
      </c>
      <c r="J51" s="15">
        <f t="shared" si="1"/>
        <v>1</v>
      </c>
    </row>
    <row r="52" spans="1:10">
      <c r="A52" s="16">
        <v>41</v>
      </c>
      <c r="B52" s="3">
        <v>41</v>
      </c>
      <c r="C52" s="4" t="s">
        <v>58</v>
      </c>
      <c r="D52" s="9" t="s">
        <v>441</v>
      </c>
      <c r="E52" s="5" t="s">
        <v>18</v>
      </c>
      <c r="F52" s="6">
        <v>915</v>
      </c>
      <c r="G52" s="6">
        <v>484</v>
      </c>
      <c r="H52" s="6">
        <v>431</v>
      </c>
      <c r="I52" s="17">
        <f t="shared" si="0"/>
        <v>890.49586776859496</v>
      </c>
      <c r="J52" s="15">
        <f t="shared" si="1"/>
        <v>2</v>
      </c>
    </row>
    <row r="53" spans="1:10">
      <c r="A53" s="16">
        <v>42</v>
      </c>
      <c r="B53" s="3">
        <v>42</v>
      </c>
      <c r="C53" s="4" t="s">
        <v>59</v>
      </c>
      <c r="D53" s="9" t="s">
        <v>441</v>
      </c>
      <c r="E53" s="5" t="s">
        <v>18</v>
      </c>
      <c r="F53" s="6">
        <v>902</v>
      </c>
      <c r="G53" s="6">
        <v>463</v>
      </c>
      <c r="H53" s="6">
        <v>439</v>
      </c>
      <c r="I53" s="17">
        <f t="shared" si="0"/>
        <v>948.16414686825055</v>
      </c>
      <c r="J53" s="15">
        <f t="shared" si="1"/>
        <v>1</v>
      </c>
    </row>
    <row r="54" spans="1:10">
      <c r="A54" s="16">
        <v>43</v>
      </c>
      <c r="B54" s="3">
        <v>43</v>
      </c>
      <c r="C54" s="4" t="s">
        <v>60</v>
      </c>
      <c r="D54" s="9" t="s">
        <v>441</v>
      </c>
      <c r="E54" s="5" t="s">
        <v>18</v>
      </c>
      <c r="F54" s="6">
        <v>1945</v>
      </c>
      <c r="G54" s="6">
        <v>1037</v>
      </c>
      <c r="H54" s="6">
        <v>908</v>
      </c>
      <c r="I54" s="17">
        <f t="shared" si="0"/>
        <v>875.60270009643205</v>
      </c>
      <c r="J54" s="15">
        <f t="shared" si="1"/>
        <v>2</v>
      </c>
    </row>
    <row r="55" spans="1:10">
      <c r="A55" s="16">
        <v>44</v>
      </c>
      <c r="B55" s="3">
        <v>44</v>
      </c>
      <c r="C55" s="4" t="s">
        <v>61</v>
      </c>
      <c r="D55" s="9" t="s">
        <v>441</v>
      </c>
      <c r="E55" s="5" t="s">
        <v>18</v>
      </c>
      <c r="F55" s="6">
        <v>2078</v>
      </c>
      <c r="G55" s="6">
        <v>1085</v>
      </c>
      <c r="H55" s="6">
        <v>993</v>
      </c>
      <c r="I55" s="17">
        <f t="shared" si="0"/>
        <v>915.20737327188942</v>
      </c>
      <c r="J55" s="15">
        <f t="shared" si="1"/>
        <v>1</v>
      </c>
    </row>
    <row r="56" spans="1:10">
      <c r="A56" s="16">
        <v>45</v>
      </c>
      <c r="B56" s="3">
        <v>45</v>
      </c>
      <c r="C56" s="4" t="s">
        <v>62</v>
      </c>
      <c r="D56" s="9" t="s">
        <v>441</v>
      </c>
      <c r="E56" s="5" t="s">
        <v>18</v>
      </c>
      <c r="F56" s="6">
        <v>1199</v>
      </c>
      <c r="G56" s="6">
        <v>621</v>
      </c>
      <c r="H56" s="6">
        <v>578</v>
      </c>
      <c r="I56" s="17">
        <f t="shared" si="0"/>
        <v>930.75684380032203</v>
      </c>
      <c r="J56" s="15">
        <f t="shared" si="1"/>
        <v>1</v>
      </c>
    </row>
    <row r="57" spans="1:10">
      <c r="A57" s="16">
        <v>46</v>
      </c>
      <c r="B57" s="3">
        <v>46</v>
      </c>
      <c r="C57" s="4" t="s">
        <v>63</v>
      </c>
      <c r="D57" s="9" t="s">
        <v>441</v>
      </c>
      <c r="E57" s="5" t="s">
        <v>18</v>
      </c>
      <c r="F57" s="6">
        <v>7344</v>
      </c>
      <c r="G57" s="6">
        <v>3869</v>
      </c>
      <c r="H57" s="6">
        <v>3475</v>
      </c>
      <c r="I57" s="17">
        <f t="shared" si="0"/>
        <v>898.16490049108302</v>
      </c>
      <c r="J57" s="15">
        <f t="shared" si="1"/>
        <v>2</v>
      </c>
    </row>
    <row r="58" spans="1:10">
      <c r="A58" s="16">
        <v>47</v>
      </c>
      <c r="B58" s="3">
        <v>47</v>
      </c>
      <c r="C58" s="4" t="s">
        <v>64</v>
      </c>
      <c r="D58" s="9" t="s">
        <v>441</v>
      </c>
      <c r="E58" s="5" t="s">
        <v>18</v>
      </c>
      <c r="F58" s="6">
        <v>874</v>
      </c>
      <c r="G58" s="6">
        <v>463</v>
      </c>
      <c r="H58" s="6">
        <v>411</v>
      </c>
      <c r="I58" s="17">
        <f t="shared" si="0"/>
        <v>887.68898488120954</v>
      </c>
      <c r="J58" s="15">
        <f t="shared" si="1"/>
        <v>2</v>
      </c>
    </row>
    <row r="59" spans="1:10">
      <c r="A59" s="16">
        <v>48</v>
      </c>
      <c r="B59" s="3">
        <v>48</v>
      </c>
      <c r="C59" s="4" t="s">
        <v>65</v>
      </c>
      <c r="D59" s="9" t="s">
        <v>441</v>
      </c>
      <c r="E59" s="5" t="s">
        <v>18</v>
      </c>
      <c r="F59" s="6">
        <v>1940</v>
      </c>
      <c r="G59" s="6">
        <v>1032</v>
      </c>
      <c r="H59" s="6">
        <v>908</v>
      </c>
      <c r="I59" s="17">
        <f t="shared" si="0"/>
        <v>879.84496124031011</v>
      </c>
      <c r="J59" s="15">
        <f t="shared" si="1"/>
        <v>2</v>
      </c>
    </row>
    <row r="60" spans="1:10">
      <c r="A60" s="16">
        <v>49</v>
      </c>
      <c r="B60" s="3">
        <v>49</v>
      </c>
      <c r="C60" s="4" t="s">
        <v>66</v>
      </c>
      <c r="D60" s="9" t="s">
        <v>441</v>
      </c>
      <c r="E60" s="5" t="s">
        <v>18</v>
      </c>
      <c r="F60" s="6">
        <v>5182</v>
      </c>
      <c r="G60" s="6">
        <v>2636</v>
      </c>
      <c r="H60" s="6">
        <v>2546</v>
      </c>
      <c r="I60" s="17">
        <f t="shared" si="0"/>
        <v>965.85735963581192</v>
      </c>
      <c r="J60" s="15">
        <f t="shared" si="1"/>
        <v>1</v>
      </c>
    </row>
    <row r="61" spans="1:10">
      <c r="A61" s="16">
        <v>50</v>
      </c>
      <c r="B61" s="3">
        <v>50</v>
      </c>
      <c r="C61" s="4" t="s">
        <v>67</v>
      </c>
      <c r="D61" s="9" t="s">
        <v>441</v>
      </c>
      <c r="E61" s="5" t="s">
        <v>18</v>
      </c>
      <c r="F61" s="6">
        <v>1375</v>
      </c>
      <c r="G61" s="6">
        <v>725</v>
      </c>
      <c r="H61" s="6">
        <v>650</v>
      </c>
      <c r="I61" s="17">
        <f t="shared" si="0"/>
        <v>896.55172413793105</v>
      </c>
      <c r="J61" s="15">
        <f t="shared" si="1"/>
        <v>2</v>
      </c>
    </row>
    <row r="62" spans="1:10">
      <c r="A62" s="16">
        <v>51</v>
      </c>
      <c r="B62" s="3">
        <v>51</v>
      </c>
      <c r="C62" s="4" t="s">
        <v>68</v>
      </c>
      <c r="D62" s="9" t="s">
        <v>441</v>
      </c>
      <c r="E62" s="5" t="s">
        <v>18</v>
      </c>
      <c r="F62" s="6">
        <v>5490</v>
      </c>
      <c r="G62" s="6">
        <v>2829</v>
      </c>
      <c r="H62" s="6">
        <v>2661</v>
      </c>
      <c r="I62" s="17">
        <f t="shared" si="0"/>
        <v>940.61505832449632</v>
      </c>
      <c r="J62" s="15">
        <f t="shared" si="1"/>
        <v>1</v>
      </c>
    </row>
    <row r="63" spans="1:10">
      <c r="A63" s="16">
        <v>52</v>
      </c>
      <c r="B63" s="3">
        <v>52</v>
      </c>
      <c r="C63" s="4" t="s">
        <v>69</v>
      </c>
      <c r="D63" s="9" t="s">
        <v>441</v>
      </c>
      <c r="E63" s="5" t="s">
        <v>18</v>
      </c>
      <c r="F63" s="6">
        <v>845</v>
      </c>
      <c r="G63" s="6">
        <v>438</v>
      </c>
      <c r="H63" s="6">
        <v>407</v>
      </c>
      <c r="I63" s="17">
        <f t="shared" si="0"/>
        <v>929.22374429223737</v>
      </c>
      <c r="J63" s="15">
        <f t="shared" si="1"/>
        <v>1</v>
      </c>
    </row>
    <row r="64" spans="1:10">
      <c r="A64" s="16">
        <v>53</v>
      </c>
      <c r="B64" s="3">
        <v>53</v>
      </c>
      <c r="C64" s="4" t="s">
        <v>70</v>
      </c>
      <c r="D64" s="9" t="s">
        <v>441</v>
      </c>
      <c r="E64" s="5" t="s">
        <v>18</v>
      </c>
      <c r="F64" s="6">
        <v>651</v>
      </c>
      <c r="G64" s="6">
        <v>329</v>
      </c>
      <c r="H64" s="6">
        <v>322</v>
      </c>
      <c r="I64" s="17">
        <f t="shared" si="0"/>
        <v>978.72340425531911</v>
      </c>
      <c r="J64" s="15">
        <f t="shared" si="1"/>
        <v>1</v>
      </c>
    </row>
    <row r="65" spans="1:10">
      <c r="A65" s="16">
        <v>54</v>
      </c>
      <c r="B65" s="3">
        <v>54</v>
      </c>
      <c r="C65" s="4" t="s">
        <v>71</v>
      </c>
      <c r="D65" s="9" t="s">
        <v>441</v>
      </c>
      <c r="E65" s="5" t="s">
        <v>18</v>
      </c>
      <c r="F65" s="6">
        <v>1</v>
      </c>
      <c r="G65" s="6">
        <v>1</v>
      </c>
      <c r="H65" s="6">
        <v>0</v>
      </c>
      <c r="I65" s="17">
        <f t="shared" si="0"/>
        <v>0</v>
      </c>
      <c r="J65" s="15">
        <f t="shared" si="1"/>
        <v>0</v>
      </c>
    </row>
    <row r="66" spans="1:10">
      <c r="A66" s="16">
        <v>55</v>
      </c>
      <c r="B66" s="3">
        <v>55</v>
      </c>
      <c r="C66" s="4" t="s">
        <v>72</v>
      </c>
      <c r="D66" s="9" t="s">
        <v>441</v>
      </c>
      <c r="E66" s="5" t="s">
        <v>18</v>
      </c>
      <c r="F66" s="6">
        <v>1127</v>
      </c>
      <c r="G66" s="6">
        <v>589</v>
      </c>
      <c r="H66" s="6">
        <v>538</v>
      </c>
      <c r="I66" s="17">
        <f t="shared" si="0"/>
        <v>913.41256366723258</v>
      </c>
      <c r="J66" s="15">
        <f t="shared" si="1"/>
        <v>1</v>
      </c>
    </row>
    <row r="67" spans="1:10">
      <c r="A67" s="16">
        <v>56</v>
      </c>
      <c r="B67" s="3">
        <v>56</v>
      </c>
      <c r="C67" s="4" t="s">
        <v>73</v>
      </c>
      <c r="D67" s="9" t="s">
        <v>441</v>
      </c>
      <c r="E67" s="5" t="s">
        <v>18</v>
      </c>
      <c r="F67" s="6">
        <v>963</v>
      </c>
      <c r="G67" s="6">
        <v>515</v>
      </c>
      <c r="H67" s="6">
        <v>448</v>
      </c>
      <c r="I67" s="17">
        <f t="shared" si="0"/>
        <v>869.90291262135918</v>
      </c>
      <c r="J67" s="15">
        <f t="shared" si="1"/>
        <v>2</v>
      </c>
    </row>
    <row r="68" spans="1:10">
      <c r="A68" s="16">
        <v>57</v>
      </c>
      <c r="B68" s="3">
        <v>57</v>
      </c>
      <c r="C68" s="4" t="s">
        <v>74</v>
      </c>
      <c r="D68" s="9" t="s">
        <v>441</v>
      </c>
      <c r="E68" s="5" t="s">
        <v>18</v>
      </c>
      <c r="F68" s="6">
        <v>201</v>
      </c>
      <c r="G68" s="6">
        <v>107</v>
      </c>
      <c r="H68" s="6">
        <v>94</v>
      </c>
      <c r="I68" s="17">
        <f t="shared" si="0"/>
        <v>878.5046728971962</v>
      </c>
      <c r="J68" s="15">
        <f t="shared" si="1"/>
        <v>2</v>
      </c>
    </row>
    <row r="69" spans="1:10">
      <c r="A69" s="16">
        <v>58</v>
      </c>
      <c r="B69" s="3">
        <v>58</v>
      </c>
      <c r="C69" s="4" t="s">
        <v>75</v>
      </c>
      <c r="D69" s="9" t="s">
        <v>441</v>
      </c>
      <c r="E69" s="5" t="s">
        <v>18</v>
      </c>
      <c r="F69" s="6">
        <v>97</v>
      </c>
      <c r="G69" s="6">
        <v>52</v>
      </c>
      <c r="H69" s="6">
        <v>45</v>
      </c>
      <c r="I69" s="17">
        <f t="shared" si="0"/>
        <v>865.38461538461547</v>
      </c>
      <c r="J69" s="15">
        <f t="shared" si="1"/>
        <v>2</v>
      </c>
    </row>
    <row r="70" spans="1:10">
      <c r="A70" s="16">
        <v>59</v>
      </c>
      <c r="B70" s="3">
        <v>59</v>
      </c>
      <c r="C70" s="4" t="s">
        <v>76</v>
      </c>
      <c r="D70" s="9" t="s">
        <v>441</v>
      </c>
      <c r="E70" s="5" t="s">
        <v>18</v>
      </c>
      <c r="F70" s="6">
        <v>2001</v>
      </c>
      <c r="G70" s="6">
        <v>1071</v>
      </c>
      <c r="H70" s="6">
        <v>930</v>
      </c>
      <c r="I70" s="17">
        <f t="shared" si="0"/>
        <v>868.34733893557427</v>
      </c>
      <c r="J70" s="15">
        <f t="shared" si="1"/>
        <v>2</v>
      </c>
    </row>
    <row r="71" spans="1:10">
      <c r="A71" s="16">
        <v>60</v>
      </c>
      <c r="B71" s="3">
        <v>60</v>
      </c>
      <c r="C71" s="4" t="s">
        <v>77</v>
      </c>
      <c r="D71" s="9" t="s">
        <v>441</v>
      </c>
      <c r="E71" s="5" t="s">
        <v>18</v>
      </c>
      <c r="F71" s="6">
        <v>961</v>
      </c>
      <c r="G71" s="6">
        <v>495</v>
      </c>
      <c r="H71" s="6">
        <v>466</v>
      </c>
      <c r="I71" s="17">
        <f t="shared" si="0"/>
        <v>941.41414141414134</v>
      </c>
      <c r="J71" s="15">
        <f t="shared" si="1"/>
        <v>1</v>
      </c>
    </row>
    <row r="72" spans="1:10">
      <c r="A72" s="16">
        <v>61</v>
      </c>
      <c r="B72" s="3">
        <v>61</v>
      </c>
      <c r="C72" s="4" t="s">
        <v>78</v>
      </c>
      <c r="D72" s="9" t="s">
        <v>441</v>
      </c>
      <c r="E72" s="5" t="s">
        <v>18</v>
      </c>
      <c r="F72" s="6">
        <v>1802</v>
      </c>
      <c r="G72" s="6">
        <v>962</v>
      </c>
      <c r="H72" s="6">
        <v>840</v>
      </c>
      <c r="I72" s="17">
        <f t="shared" si="0"/>
        <v>873.18087318087328</v>
      </c>
      <c r="J72" s="15">
        <f t="shared" si="1"/>
        <v>2</v>
      </c>
    </row>
    <row r="73" spans="1:10">
      <c r="A73" s="16">
        <v>62</v>
      </c>
      <c r="B73" s="3">
        <v>62</v>
      </c>
      <c r="C73" s="4" t="s">
        <v>79</v>
      </c>
      <c r="D73" s="9" t="s">
        <v>441</v>
      </c>
      <c r="E73" s="5" t="s">
        <v>18</v>
      </c>
      <c r="F73" s="6">
        <v>1854</v>
      </c>
      <c r="G73" s="6">
        <v>1001</v>
      </c>
      <c r="H73" s="6">
        <v>853</v>
      </c>
      <c r="I73" s="17">
        <f t="shared" si="0"/>
        <v>852.14785214785218</v>
      </c>
      <c r="J73" s="15">
        <f t="shared" si="1"/>
        <v>2</v>
      </c>
    </row>
    <row r="74" spans="1:10">
      <c r="A74" s="16">
        <v>63</v>
      </c>
      <c r="B74" s="3">
        <v>63</v>
      </c>
      <c r="C74" s="4" t="s">
        <v>80</v>
      </c>
      <c r="D74" s="9" t="s">
        <v>441</v>
      </c>
      <c r="E74" s="5" t="s">
        <v>18</v>
      </c>
      <c r="F74" s="6">
        <v>1413</v>
      </c>
      <c r="G74" s="6">
        <v>729</v>
      </c>
      <c r="H74" s="6">
        <v>684</v>
      </c>
      <c r="I74" s="17">
        <f t="shared" si="0"/>
        <v>938.27160493827159</v>
      </c>
      <c r="J74" s="15">
        <f t="shared" si="1"/>
        <v>1</v>
      </c>
    </row>
    <row r="75" spans="1:10">
      <c r="A75" s="16">
        <v>64</v>
      </c>
      <c r="B75" s="3">
        <v>1</v>
      </c>
      <c r="C75" s="4" t="s">
        <v>81</v>
      </c>
      <c r="D75" s="9" t="s">
        <v>441</v>
      </c>
      <c r="E75" s="5" t="s">
        <v>82</v>
      </c>
      <c r="F75" s="6">
        <v>1105</v>
      </c>
      <c r="G75" s="6">
        <v>596</v>
      </c>
      <c r="H75" s="6">
        <v>509</v>
      </c>
      <c r="I75" s="17">
        <f t="shared" si="0"/>
        <v>854.02684563758396</v>
      </c>
      <c r="J75" s="15">
        <f t="shared" si="1"/>
        <v>2</v>
      </c>
    </row>
    <row r="76" spans="1:10">
      <c r="A76" s="16">
        <v>65</v>
      </c>
      <c r="B76" s="3">
        <v>2</v>
      </c>
      <c r="C76" s="4" t="s">
        <v>83</v>
      </c>
      <c r="D76" s="9" t="s">
        <v>441</v>
      </c>
      <c r="E76" s="5" t="s">
        <v>82</v>
      </c>
      <c r="F76" s="6">
        <v>1283</v>
      </c>
      <c r="G76" s="6">
        <v>699</v>
      </c>
      <c r="H76" s="6">
        <v>584</v>
      </c>
      <c r="I76" s="17">
        <f t="shared" ref="I76:I139" si="2">H76/G76*1000</f>
        <v>835.4792560801144</v>
      </c>
      <c r="J76" s="15">
        <f t="shared" si="1"/>
        <v>2</v>
      </c>
    </row>
    <row r="77" spans="1:10">
      <c r="A77" s="16">
        <v>66</v>
      </c>
      <c r="B77" s="3">
        <v>3</v>
      </c>
      <c r="C77" s="4" t="s">
        <v>84</v>
      </c>
      <c r="D77" s="9" t="s">
        <v>441</v>
      </c>
      <c r="E77" s="5" t="s">
        <v>82</v>
      </c>
      <c r="F77" s="6">
        <v>2169</v>
      </c>
      <c r="G77" s="6">
        <v>1111</v>
      </c>
      <c r="H77" s="6">
        <v>1058</v>
      </c>
      <c r="I77" s="17">
        <f t="shared" si="2"/>
        <v>952.29522952295235</v>
      </c>
      <c r="J77" s="15">
        <f t="shared" ref="J77:J140" si="3">IF($I77&gt;900,1,IF($I77&gt;800,2,IF($I77&gt;700,3,0)))</f>
        <v>1</v>
      </c>
    </row>
    <row r="78" spans="1:10">
      <c r="A78" s="16">
        <v>67</v>
      </c>
      <c r="B78" s="3">
        <v>4</v>
      </c>
      <c r="C78" s="4" t="s">
        <v>85</v>
      </c>
      <c r="D78" s="9" t="s">
        <v>441</v>
      </c>
      <c r="E78" s="5" t="s">
        <v>82</v>
      </c>
      <c r="F78" s="6">
        <v>3249</v>
      </c>
      <c r="G78" s="6">
        <v>1690</v>
      </c>
      <c r="H78" s="6">
        <v>1559</v>
      </c>
      <c r="I78" s="17">
        <f t="shared" si="2"/>
        <v>922.48520710059165</v>
      </c>
      <c r="J78" s="15">
        <f t="shared" si="3"/>
        <v>1</v>
      </c>
    </row>
    <row r="79" spans="1:10">
      <c r="A79" s="16">
        <v>68</v>
      </c>
      <c r="B79" s="3">
        <v>5</v>
      </c>
      <c r="C79" s="4" t="s">
        <v>86</v>
      </c>
      <c r="D79" s="9" t="s">
        <v>441</v>
      </c>
      <c r="E79" s="5" t="s">
        <v>82</v>
      </c>
      <c r="F79" s="6">
        <v>933</v>
      </c>
      <c r="G79" s="6">
        <v>486</v>
      </c>
      <c r="H79" s="6">
        <v>447</v>
      </c>
      <c r="I79" s="17">
        <f t="shared" si="2"/>
        <v>919.75308641975312</v>
      </c>
      <c r="J79" s="15">
        <f t="shared" si="3"/>
        <v>1</v>
      </c>
    </row>
    <row r="80" spans="1:10">
      <c r="A80" s="16">
        <v>69</v>
      </c>
      <c r="B80" s="3">
        <v>6</v>
      </c>
      <c r="C80" s="4" t="s">
        <v>87</v>
      </c>
      <c r="D80" s="9" t="s">
        <v>441</v>
      </c>
      <c r="E80" s="5" t="s">
        <v>82</v>
      </c>
      <c r="F80" s="6">
        <v>1372</v>
      </c>
      <c r="G80" s="6">
        <v>736</v>
      </c>
      <c r="H80" s="6">
        <v>636</v>
      </c>
      <c r="I80" s="17">
        <f t="shared" si="2"/>
        <v>864.13043478260863</v>
      </c>
      <c r="J80" s="15">
        <f t="shared" si="3"/>
        <v>2</v>
      </c>
    </row>
    <row r="81" spans="1:10">
      <c r="A81" s="16">
        <v>70</v>
      </c>
      <c r="B81" s="3">
        <v>7</v>
      </c>
      <c r="C81" s="4" t="s">
        <v>88</v>
      </c>
      <c r="D81" s="9" t="s">
        <v>441</v>
      </c>
      <c r="E81" s="5" t="s">
        <v>82</v>
      </c>
      <c r="F81" s="6">
        <v>1350</v>
      </c>
      <c r="G81" s="6">
        <v>711</v>
      </c>
      <c r="H81" s="6">
        <v>639</v>
      </c>
      <c r="I81" s="17">
        <f t="shared" si="2"/>
        <v>898.7341772151899</v>
      </c>
      <c r="J81" s="15">
        <f t="shared" si="3"/>
        <v>2</v>
      </c>
    </row>
    <row r="82" spans="1:10">
      <c r="A82" s="16">
        <v>71</v>
      </c>
      <c r="B82" s="3">
        <v>8</v>
      </c>
      <c r="C82" s="4" t="s">
        <v>89</v>
      </c>
      <c r="D82" s="9" t="s">
        <v>441</v>
      </c>
      <c r="E82" s="5" t="s">
        <v>82</v>
      </c>
      <c r="F82" s="6">
        <v>685</v>
      </c>
      <c r="G82" s="6">
        <v>353</v>
      </c>
      <c r="H82" s="6">
        <v>332</v>
      </c>
      <c r="I82" s="17">
        <f t="shared" si="2"/>
        <v>940.50991501416422</v>
      </c>
      <c r="J82" s="15">
        <f t="shared" si="3"/>
        <v>1</v>
      </c>
    </row>
    <row r="83" spans="1:10">
      <c r="A83" s="16">
        <v>72</v>
      </c>
      <c r="B83" s="3">
        <v>9</v>
      </c>
      <c r="C83" s="4" t="s">
        <v>90</v>
      </c>
      <c r="D83" s="9" t="s">
        <v>441</v>
      </c>
      <c r="E83" s="5" t="s">
        <v>82</v>
      </c>
      <c r="F83" s="6">
        <v>2096</v>
      </c>
      <c r="G83" s="6">
        <v>1096</v>
      </c>
      <c r="H83" s="6">
        <v>1000</v>
      </c>
      <c r="I83" s="17">
        <f t="shared" si="2"/>
        <v>912.40875912408762</v>
      </c>
      <c r="J83" s="15">
        <f t="shared" si="3"/>
        <v>1</v>
      </c>
    </row>
    <row r="84" spans="1:10">
      <c r="A84" s="16">
        <v>73</v>
      </c>
      <c r="B84" s="3">
        <v>10</v>
      </c>
      <c r="C84" s="4" t="s">
        <v>91</v>
      </c>
      <c r="D84" s="9" t="s">
        <v>441</v>
      </c>
      <c r="E84" s="5" t="s">
        <v>82</v>
      </c>
      <c r="F84" s="6">
        <v>2806</v>
      </c>
      <c r="G84" s="6">
        <v>1501</v>
      </c>
      <c r="H84" s="6">
        <v>1305</v>
      </c>
      <c r="I84" s="17">
        <f t="shared" si="2"/>
        <v>869.4203864090606</v>
      </c>
      <c r="J84" s="15">
        <f t="shared" si="3"/>
        <v>2</v>
      </c>
    </row>
    <row r="85" spans="1:10">
      <c r="A85" s="16">
        <v>74</v>
      </c>
      <c r="B85" s="3">
        <v>11</v>
      </c>
      <c r="C85" s="4" t="s">
        <v>92</v>
      </c>
      <c r="D85" s="9" t="s">
        <v>441</v>
      </c>
      <c r="E85" s="5" t="s">
        <v>82</v>
      </c>
      <c r="F85" s="6">
        <v>1256</v>
      </c>
      <c r="G85" s="6">
        <v>693</v>
      </c>
      <c r="H85" s="6">
        <v>563</v>
      </c>
      <c r="I85" s="17">
        <f t="shared" si="2"/>
        <v>812.40981240981239</v>
      </c>
      <c r="J85" s="15">
        <f t="shared" si="3"/>
        <v>2</v>
      </c>
    </row>
    <row r="86" spans="1:10">
      <c r="A86" s="16">
        <v>75</v>
      </c>
      <c r="B86" s="3">
        <v>12</v>
      </c>
      <c r="C86" s="4" t="s">
        <v>93</v>
      </c>
      <c r="D86" s="9" t="s">
        <v>441</v>
      </c>
      <c r="E86" s="5" t="s">
        <v>82</v>
      </c>
      <c r="F86" s="6">
        <v>644</v>
      </c>
      <c r="G86" s="6">
        <v>336</v>
      </c>
      <c r="H86" s="6">
        <v>308</v>
      </c>
      <c r="I86" s="17">
        <f t="shared" si="2"/>
        <v>916.66666666666663</v>
      </c>
      <c r="J86" s="15">
        <f t="shared" si="3"/>
        <v>1</v>
      </c>
    </row>
    <row r="87" spans="1:10">
      <c r="A87" s="16">
        <v>76</v>
      </c>
      <c r="B87" s="3">
        <v>13</v>
      </c>
      <c r="C87" s="4" t="s">
        <v>94</v>
      </c>
      <c r="D87" s="9" t="s">
        <v>441</v>
      </c>
      <c r="E87" s="5" t="s">
        <v>82</v>
      </c>
      <c r="F87" s="6">
        <v>1037</v>
      </c>
      <c r="G87" s="6">
        <v>546</v>
      </c>
      <c r="H87" s="6">
        <v>491</v>
      </c>
      <c r="I87" s="17">
        <f t="shared" si="2"/>
        <v>899.26739926739924</v>
      </c>
      <c r="J87" s="15">
        <f t="shared" si="3"/>
        <v>2</v>
      </c>
    </row>
    <row r="88" spans="1:10">
      <c r="A88" s="16">
        <v>77</v>
      </c>
      <c r="B88" s="3">
        <v>14</v>
      </c>
      <c r="C88" s="4" t="s">
        <v>95</v>
      </c>
      <c r="D88" s="9" t="s">
        <v>441</v>
      </c>
      <c r="E88" s="5" t="s">
        <v>82</v>
      </c>
      <c r="F88" s="6">
        <v>1176</v>
      </c>
      <c r="G88" s="6">
        <v>634</v>
      </c>
      <c r="H88" s="6">
        <v>542</v>
      </c>
      <c r="I88" s="17">
        <f t="shared" si="2"/>
        <v>854.88958990536275</v>
      </c>
      <c r="J88" s="15">
        <f t="shared" si="3"/>
        <v>2</v>
      </c>
    </row>
    <row r="89" spans="1:10">
      <c r="A89" s="16">
        <v>78</v>
      </c>
      <c r="B89" s="3">
        <v>15</v>
      </c>
      <c r="C89" s="4" t="s">
        <v>96</v>
      </c>
      <c r="D89" s="9" t="s">
        <v>441</v>
      </c>
      <c r="E89" s="5" t="s">
        <v>82</v>
      </c>
      <c r="F89" s="6">
        <v>946</v>
      </c>
      <c r="G89" s="6">
        <v>497</v>
      </c>
      <c r="H89" s="6">
        <v>449</v>
      </c>
      <c r="I89" s="17">
        <f t="shared" si="2"/>
        <v>903.420523138833</v>
      </c>
      <c r="J89" s="15">
        <f t="shared" si="3"/>
        <v>1</v>
      </c>
    </row>
    <row r="90" spans="1:10">
      <c r="A90" s="16">
        <v>79</v>
      </c>
      <c r="B90" s="3">
        <v>16</v>
      </c>
      <c r="C90" s="4" t="s">
        <v>97</v>
      </c>
      <c r="D90" s="9" t="s">
        <v>441</v>
      </c>
      <c r="E90" s="5" t="s">
        <v>82</v>
      </c>
      <c r="F90" s="6">
        <v>1869</v>
      </c>
      <c r="G90" s="6">
        <v>971</v>
      </c>
      <c r="H90" s="6">
        <v>898</v>
      </c>
      <c r="I90" s="17">
        <f t="shared" si="2"/>
        <v>924.81977342945424</v>
      </c>
      <c r="J90" s="15">
        <f t="shared" si="3"/>
        <v>1</v>
      </c>
    </row>
    <row r="91" spans="1:10">
      <c r="A91" s="16">
        <v>80</v>
      </c>
      <c r="B91" s="3">
        <v>17</v>
      </c>
      <c r="C91" s="4" t="s">
        <v>98</v>
      </c>
      <c r="D91" s="9" t="s">
        <v>441</v>
      </c>
      <c r="E91" s="5" t="s">
        <v>82</v>
      </c>
      <c r="F91" s="6">
        <v>1274</v>
      </c>
      <c r="G91" s="6">
        <v>664</v>
      </c>
      <c r="H91" s="6">
        <v>610</v>
      </c>
      <c r="I91" s="17">
        <f t="shared" si="2"/>
        <v>918.67469879518069</v>
      </c>
      <c r="J91" s="15">
        <f t="shared" si="3"/>
        <v>1</v>
      </c>
    </row>
    <row r="92" spans="1:10">
      <c r="A92" s="16">
        <v>81</v>
      </c>
      <c r="B92" s="3">
        <v>18</v>
      </c>
      <c r="C92" s="4" t="s">
        <v>99</v>
      </c>
      <c r="D92" s="9" t="s">
        <v>441</v>
      </c>
      <c r="E92" s="5" t="s">
        <v>82</v>
      </c>
      <c r="F92" s="6">
        <v>1904</v>
      </c>
      <c r="G92" s="6">
        <v>1026</v>
      </c>
      <c r="H92" s="6">
        <v>878</v>
      </c>
      <c r="I92" s="17">
        <f t="shared" si="2"/>
        <v>855.75048732943469</v>
      </c>
      <c r="J92" s="15">
        <f t="shared" si="3"/>
        <v>2</v>
      </c>
    </row>
    <row r="93" spans="1:10">
      <c r="A93" s="16">
        <v>82</v>
      </c>
      <c r="B93" s="3">
        <v>19</v>
      </c>
      <c r="C93" s="4" t="s">
        <v>100</v>
      </c>
      <c r="D93" s="9" t="s">
        <v>441</v>
      </c>
      <c r="E93" s="5" t="s">
        <v>82</v>
      </c>
      <c r="F93" s="6">
        <v>1775</v>
      </c>
      <c r="G93" s="6">
        <v>944</v>
      </c>
      <c r="H93" s="6">
        <v>831</v>
      </c>
      <c r="I93" s="17">
        <f t="shared" si="2"/>
        <v>880.2966101694916</v>
      </c>
      <c r="J93" s="15">
        <f t="shared" si="3"/>
        <v>2</v>
      </c>
    </row>
    <row r="94" spans="1:10">
      <c r="A94" s="16">
        <v>83</v>
      </c>
      <c r="B94" s="3">
        <v>20</v>
      </c>
      <c r="C94" s="4" t="s">
        <v>101</v>
      </c>
      <c r="D94" s="9" t="s">
        <v>441</v>
      </c>
      <c r="E94" s="5" t="s">
        <v>82</v>
      </c>
      <c r="F94" s="6">
        <v>299</v>
      </c>
      <c r="G94" s="6">
        <v>155</v>
      </c>
      <c r="H94" s="6">
        <v>144</v>
      </c>
      <c r="I94" s="17">
        <f t="shared" si="2"/>
        <v>929.03225806451621</v>
      </c>
      <c r="J94" s="15">
        <f t="shared" si="3"/>
        <v>1</v>
      </c>
    </row>
    <row r="95" spans="1:10">
      <c r="A95" s="16">
        <v>84</v>
      </c>
      <c r="B95" s="3">
        <v>21</v>
      </c>
      <c r="C95" s="4" t="s">
        <v>102</v>
      </c>
      <c r="D95" s="9" t="s">
        <v>441</v>
      </c>
      <c r="E95" s="5" t="s">
        <v>82</v>
      </c>
      <c r="F95" s="6">
        <v>749</v>
      </c>
      <c r="G95" s="6">
        <v>395</v>
      </c>
      <c r="H95" s="6">
        <v>354</v>
      </c>
      <c r="I95" s="17">
        <f t="shared" si="2"/>
        <v>896.20253164556959</v>
      </c>
      <c r="J95" s="15">
        <f t="shared" si="3"/>
        <v>2</v>
      </c>
    </row>
    <row r="96" spans="1:10">
      <c r="A96" s="16">
        <v>85</v>
      </c>
      <c r="B96" s="3">
        <v>22</v>
      </c>
      <c r="C96" s="4" t="s">
        <v>103</v>
      </c>
      <c r="D96" s="9" t="s">
        <v>441</v>
      </c>
      <c r="E96" s="5" t="s">
        <v>82</v>
      </c>
      <c r="F96" s="6">
        <v>2396</v>
      </c>
      <c r="G96" s="6">
        <v>1279</v>
      </c>
      <c r="H96" s="6">
        <v>1117</v>
      </c>
      <c r="I96" s="17">
        <f t="shared" si="2"/>
        <v>873.33854573885844</v>
      </c>
      <c r="J96" s="15">
        <f t="shared" si="3"/>
        <v>2</v>
      </c>
    </row>
    <row r="97" spans="1:10">
      <c r="A97" s="16">
        <v>86</v>
      </c>
      <c r="B97" s="3">
        <v>23</v>
      </c>
      <c r="C97" s="4" t="s">
        <v>104</v>
      </c>
      <c r="D97" s="9" t="s">
        <v>441</v>
      </c>
      <c r="E97" s="5" t="s">
        <v>82</v>
      </c>
      <c r="F97" s="6">
        <v>86</v>
      </c>
      <c r="G97" s="6">
        <v>47</v>
      </c>
      <c r="H97" s="6">
        <v>39</v>
      </c>
      <c r="I97" s="17">
        <f t="shared" si="2"/>
        <v>829.78723404255322</v>
      </c>
      <c r="J97" s="15">
        <f t="shared" si="3"/>
        <v>2</v>
      </c>
    </row>
    <row r="98" spans="1:10">
      <c r="A98" s="16">
        <v>87</v>
      </c>
      <c r="B98" s="3">
        <v>24</v>
      </c>
      <c r="C98" s="4" t="s">
        <v>105</v>
      </c>
      <c r="D98" s="9" t="s">
        <v>441</v>
      </c>
      <c r="E98" s="5" t="s">
        <v>82</v>
      </c>
      <c r="F98" s="6">
        <v>1537</v>
      </c>
      <c r="G98" s="6">
        <v>784</v>
      </c>
      <c r="H98" s="6">
        <v>753</v>
      </c>
      <c r="I98" s="17">
        <f t="shared" si="2"/>
        <v>960.4591836734694</v>
      </c>
      <c r="J98" s="15">
        <f t="shared" si="3"/>
        <v>1</v>
      </c>
    </row>
    <row r="99" spans="1:10">
      <c r="A99" s="16">
        <v>88</v>
      </c>
      <c r="B99" s="3">
        <v>25</v>
      </c>
      <c r="C99" s="4" t="s">
        <v>106</v>
      </c>
      <c r="D99" s="9" t="s">
        <v>441</v>
      </c>
      <c r="E99" s="5" t="s">
        <v>82</v>
      </c>
      <c r="F99" s="6">
        <v>1204</v>
      </c>
      <c r="G99" s="6">
        <v>644</v>
      </c>
      <c r="H99" s="6">
        <v>560</v>
      </c>
      <c r="I99" s="17">
        <f t="shared" si="2"/>
        <v>869.56521739130437</v>
      </c>
      <c r="J99" s="15">
        <f t="shared" si="3"/>
        <v>2</v>
      </c>
    </row>
    <row r="100" spans="1:10">
      <c r="A100" s="16">
        <v>89</v>
      </c>
      <c r="B100" s="3">
        <v>26</v>
      </c>
      <c r="C100" s="4" t="s">
        <v>107</v>
      </c>
      <c r="D100" s="9" t="s">
        <v>441</v>
      </c>
      <c r="E100" s="5" t="s">
        <v>82</v>
      </c>
      <c r="F100" s="6">
        <v>274</v>
      </c>
      <c r="G100" s="6">
        <v>141</v>
      </c>
      <c r="H100" s="6">
        <v>133</v>
      </c>
      <c r="I100" s="17">
        <f t="shared" si="2"/>
        <v>943.26241134751774</v>
      </c>
      <c r="J100" s="15">
        <f t="shared" si="3"/>
        <v>1</v>
      </c>
    </row>
    <row r="101" spans="1:10">
      <c r="A101" s="16">
        <v>90</v>
      </c>
      <c r="B101" s="3">
        <v>27</v>
      </c>
      <c r="C101" s="8" t="s">
        <v>108</v>
      </c>
      <c r="D101" s="9" t="s">
        <v>441</v>
      </c>
      <c r="E101" s="5" t="s">
        <v>82</v>
      </c>
      <c r="F101" s="6">
        <v>0</v>
      </c>
      <c r="G101" s="6">
        <v>0</v>
      </c>
      <c r="H101" s="6">
        <v>0</v>
      </c>
      <c r="I101" s="17">
        <v>0</v>
      </c>
      <c r="J101" s="15">
        <f t="shared" si="3"/>
        <v>0</v>
      </c>
    </row>
    <row r="102" spans="1:10">
      <c r="A102" s="16">
        <v>91</v>
      </c>
      <c r="B102" s="3">
        <v>28</v>
      </c>
      <c r="C102" s="4" t="s">
        <v>109</v>
      </c>
      <c r="D102" s="9" t="s">
        <v>441</v>
      </c>
      <c r="E102" s="5" t="s">
        <v>82</v>
      </c>
      <c r="F102" s="6">
        <v>1178</v>
      </c>
      <c r="G102" s="6">
        <v>632</v>
      </c>
      <c r="H102" s="6">
        <v>546</v>
      </c>
      <c r="I102" s="17">
        <f t="shared" si="2"/>
        <v>863.92405063291142</v>
      </c>
      <c r="J102" s="15">
        <f t="shared" si="3"/>
        <v>2</v>
      </c>
    </row>
    <row r="103" spans="1:10">
      <c r="A103" s="16">
        <v>92</v>
      </c>
      <c r="B103" s="3">
        <v>29</v>
      </c>
      <c r="C103" s="4" t="s">
        <v>110</v>
      </c>
      <c r="D103" s="9" t="s">
        <v>441</v>
      </c>
      <c r="E103" s="5" t="s">
        <v>82</v>
      </c>
      <c r="F103" s="6">
        <v>595</v>
      </c>
      <c r="G103" s="6">
        <v>312</v>
      </c>
      <c r="H103" s="6">
        <v>283</v>
      </c>
      <c r="I103" s="17">
        <f t="shared" si="2"/>
        <v>907.0512820512821</v>
      </c>
      <c r="J103" s="15">
        <f t="shared" si="3"/>
        <v>1</v>
      </c>
    </row>
    <row r="104" spans="1:10">
      <c r="A104" s="16">
        <v>93</v>
      </c>
      <c r="B104" s="3">
        <v>30</v>
      </c>
      <c r="C104" s="4" t="s">
        <v>111</v>
      </c>
      <c r="D104" s="9" t="s">
        <v>441</v>
      </c>
      <c r="E104" s="5" t="s">
        <v>82</v>
      </c>
      <c r="F104" s="6">
        <v>1454</v>
      </c>
      <c r="G104" s="6">
        <v>782</v>
      </c>
      <c r="H104" s="6">
        <v>672</v>
      </c>
      <c r="I104" s="17">
        <f t="shared" si="2"/>
        <v>859.33503836317141</v>
      </c>
      <c r="J104" s="15">
        <f t="shared" si="3"/>
        <v>2</v>
      </c>
    </row>
    <row r="105" spans="1:10">
      <c r="A105" s="16">
        <v>94</v>
      </c>
      <c r="B105" s="3">
        <v>31</v>
      </c>
      <c r="C105" s="4" t="s">
        <v>112</v>
      </c>
      <c r="D105" s="9" t="s">
        <v>441</v>
      </c>
      <c r="E105" s="5" t="s">
        <v>82</v>
      </c>
      <c r="F105" s="6">
        <v>2394</v>
      </c>
      <c r="G105" s="6">
        <v>1259</v>
      </c>
      <c r="H105" s="6">
        <v>1135</v>
      </c>
      <c r="I105" s="17">
        <f t="shared" si="2"/>
        <v>901.50913423351869</v>
      </c>
      <c r="J105" s="15">
        <f t="shared" si="3"/>
        <v>1</v>
      </c>
    </row>
    <row r="106" spans="1:10">
      <c r="A106" s="16">
        <v>95</v>
      </c>
      <c r="B106" s="3">
        <v>32</v>
      </c>
      <c r="C106" s="4" t="s">
        <v>113</v>
      </c>
      <c r="D106" s="9" t="s">
        <v>441</v>
      </c>
      <c r="E106" s="5" t="s">
        <v>82</v>
      </c>
      <c r="F106" s="6">
        <v>1301</v>
      </c>
      <c r="G106" s="6">
        <v>690</v>
      </c>
      <c r="H106" s="6">
        <v>611</v>
      </c>
      <c r="I106" s="17">
        <f t="shared" si="2"/>
        <v>885.50724637681151</v>
      </c>
      <c r="J106" s="15">
        <f t="shared" si="3"/>
        <v>2</v>
      </c>
    </row>
    <row r="107" spans="1:10">
      <c r="A107" s="16">
        <v>96</v>
      </c>
      <c r="B107" s="3">
        <v>33</v>
      </c>
      <c r="C107" s="4" t="s">
        <v>114</v>
      </c>
      <c r="D107" s="9" t="s">
        <v>441</v>
      </c>
      <c r="E107" s="5" t="s">
        <v>82</v>
      </c>
      <c r="F107" s="6">
        <v>591</v>
      </c>
      <c r="G107" s="6">
        <v>310</v>
      </c>
      <c r="H107" s="6">
        <v>281</v>
      </c>
      <c r="I107" s="17">
        <f t="shared" si="2"/>
        <v>906.45161290322585</v>
      </c>
      <c r="J107" s="15">
        <f t="shared" si="3"/>
        <v>1</v>
      </c>
    </row>
    <row r="108" spans="1:10">
      <c r="A108" s="16">
        <v>97</v>
      </c>
      <c r="B108" s="3">
        <v>34</v>
      </c>
      <c r="C108" s="4" t="s">
        <v>115</v>
      </c>
      <c r="D108" s="9" t="s">
        <v>441</v>
      </c>
      <c r="E108" s="5" t="s">
        <v>82</v>
      </c>
      <c r="F108" s="6">
        <v>516</v>
      </c>
      <c r="G108" s="6">
        <v>277</v>
      </c>
      <c r="H108" s="6">
        <v>239</v>
      </c>
      <c r="I108" s="17">
        <f t="shared" si="2"/>
        <v>862.81588447653439</v>
      </c>
      <c r="J108" s="15">
        <f t="shared" si="3"/>
        <v>2</v>
      </c>
    </row>
    <row r="109" spans="1:10">
      <c r="A109" s="16">
        <v>98</v>
      </c>
      <c r="B109" s="3">
        <v>35</v>
      </c>
      <c r="C109" s="4" t="s">
        <v>116</v>
      </c>
      <c r="D109" s="9" t="s">
        <v>441</v>
      </c>
      <c r="E109" s="5" t="s">
        <v>82</v>
      </c>
      <c r="F109" s="6">
        <v>1115</v>
      </c>
      <c r="G109" s="6">
        <v>599</v>
      </c>
      <c r="H109" s="6">
        <v>516</v>
      </c>
      <c r="I109" s="17">
        <f t="shared" si="2"/>
        <v>861.43572621035059</v>
      </c>
      <c r="J109" s="15">
        <f t="shared" si="3"/>
        <v>2</v>
      </c>
    </row>
    <row r="110" spans="1:10">
      <c r="A110" s="16">
        <v>99</v>
      </c>
      <c r="B110" s="3">
        <v>36</v>
      </c>
      <c r="C110" s="4" t="s">
        <v>117</v>
      </c>
      <c r="D110" s="9" t="s">
        <v>441</v>
      </c>
      <c r="E110" s="5" t="s">
        <v>82</v>
      </c>
      <c r="F110" s="6">
        <v>3510</v>
      </c>
      <c r="G110" s="6">
        <v>1859</v>
      </c>
      <c r="H110" s="6">
        <v>1651</v>
      </c>
      <c r="I110" s="17">
        <f t="shared" si="2"/>
        <v>888.11188811188811</v>
      </c>
      <c r="J110" s="15">
        <f t="shared" si="3"/>
        <v>2</v>
      </c>
    </row>
    <row r="111" spans="1:10">
      <c r="A111" s="16">
        <v>100</v>
      </c>
      <c r="B111" s="3">
        <v>37</v>
      </c>
      <c r="C111" s="4" t="s">
        <v>118</v>
      </c>
      <c r="D111" s="9" t="s">
        <v>441</v>
      </c>
      <c r="E111" s="5" t="s">
        <v>82</v>
      </c>
      <c r="F111" s="6">
        <v>820</v>
      </c>
      <c r="G111" s="6">
        <v>434</v>
      </c>
      <c r="H111" s="6">
        <v>386</v>
      </c>
      <c r="I111" s="17">
        <f t="shared" si="2"/>
        <v>889.40092165898625</v>
      </c>
      <c r="J111" s="15">
        <f t="shared" si="3"/>
        <v>2</v>
      </c>
    </row>
    <row r="112" spans="1:10">
      <c r="A112" s="16">
        <v>101</v>
      </c>
      <c r="B112" s="3">
        <v>38</v>
      </c>
      <c r="C112" s="4" t="s">
        <v>119</v>
      </c>
      <c r="D112" s="9" t="s">
        <v>441</v>
      </c>
      <c r="E112" s="5" t="s">
        <v>82</v>
      </c>
      <c r="F112" s="6">
        <v>1517</v>
      </c>
      <c r="G112" s="6">
        <v>783</v>
      </c>
      <c r="H112" s="6">
        <v>734</v>
      </c>
      <c r="I112" s="17">
        <f t="shared" si="2"/>
        <v>937.42017879948912</v>
      </c>
      <c r="J112" s="15">
        <f t="shared" si="3"/>
        <v>1</v>
      </c>
    </row>
    <row r="113" spans="1:10">
      <c r="A113" s="16">
        <v>102</v>
      </c>
      <c r="B113" s="3">
        <v>39</v>
      </c>
      <c r="C113" s="4" t="s">
        <v>120</v>
      </c>
      <c r="D113" s="9" t="s">
        <v>441</v>
      </c>
      <c r="E113" s="5" t="s">
        <v>82</v>
      </c>
      <c r="F113" s="6">
        <v>1482</v>
      </c>
      <c r="G113" s="6">
        <v>809</v>
      </c>
      <c r="H113" s="6">
        <v>673</v>
      </c>
      <c r="I113" s="17">
        <f t="shared" si="2"/>
        <v>831.8912237330037</v>
      </c>
      <c r="J113" s="15">
        <f t="shared" si="3"/>
        <v>2</v>
      </c>
    </row>
    <row r="114" spans="1:10">
      <c r="A114" s="16">
        <v>103</v>
      </c>
      <c r="B114" s="3">
        <v>40</v>
      </c>
      <c r="C114" s="4" t="s">
        <v>121</v>
      </c>
      <c r="D114" s="9" t="s">
        <v>441</v>
      </c>
      <c r="E114" s="5" t="s">
        <v>82</v>
      </c>
      <c r="F114" s="6">
        <v>779</v>
      </c>
      <c r="G114" s="6">
        <v>405</v>
      </c>
      <c r="H114" s="6">
        <v>374</v>
      </c>
      <c r="I114" s="17">
        <f t="shared" si="2"/>
        <v>923.45679012345681</v>
      </c>
      <c r="J114" s="15">
        <f t="shared" si="3"/>
        <v>1</v>
      </c>
    </row>
    <row r="115" spans="1:10">
      <c r="A115" s="16">
        <v>104</v>
      </c>
      <c r="B115" s="3">
        <v>41</v>
      </c>
      <c r="C115" s="4" t="s">
        <v>122</v>
      </c>
      <c r="D115" s="9" t="s">
        <v>441</v>
      </c>
      <c r="E115" s="5" t="s">
        <v>82</v>
      </c>
      <c r="F115" s="6">
        <v>5325</v>
      </c>
      <c r="G115" s="6">
        <v>2806</v>
      </c>
      <c r="H115" s="6">
        <v>2519</v>
      </c>
      <c r="I115" s="17">
        <f t="shared" si="2"/>
        <v>897.71917320028513</v>
      </c>
      <c r="J115" s="15">
        <f t="shared" si="3"/>
        <v>2</v>
      </c>
    </row>
    <row r="116" spans="1:10">
      <c r="A116" s="16">
        <v>105</v>
      </c>
      <c r="B116" s="3">
        <v>42</v>
      </c>
      <c r="C116" s="4" t="s">
        <v>123</v>
      </c>
      <c r="D116" s="9" t="s">
        <v>441</v>
      </c>
      <c r="E116" s="5" t="s">
        <v>82</v>
      </c>
      <c r="F116" s="6">
        <v>1120</v>
      </c>
      <c r="G116" s="6">
        <v>593</v>
      </c>
      <c r="H116" s="6">
        <v>527</v>
      </c>
      <c r="I116" s="17">
        <f t="shared" si="2"/>
        <v>888.70151770657674</v>
      </c>
      <c r="J116" s="15">
        <f t="shared" si="3"/>
        <v>2</v>
      </c>
    </row>
    <row r="117" spans="1:10">
      <c r="A117" s="16">
        <v>106</v>
      </c>
      <c r="B117" s="3">
        <v>43</v>
      </c>
      <c r="C117" s="4" t="s">
        <v>124</v>
      </c>
      <c r="D117" s="9" t="s">
        <v>441</v>
      </c>
      <c r="E117" s="5" t="s">
        <v>82</v>
      </c>
      <c r="F117" s="6">
        <v>1067</v>
      </c>
      <c r="G117" s="6">
        <v>562</v>
      </c>
      <c r="H117" s="6">
        <v>505</v>
      </c>
      <c r="I117" s="17">
        <f t="shared" si="2"/>
        <v>898.57651245551608</v>
      </c>
      <c r="J117" s="15">
        <f t="shared" si="3"/>
        <v>2</v>
      </c>
    </row>
    <row r="118" spans="1:10">
      <c r="A118" s="16">
        <v>107</v>
      </c>
      <c r="B118" s="3">
        <v>44</v>
      </c>
      <c r="C118" s="4" t="s">
        <v>125</v>
      </c>
      <c r="D118" s="9" t="s">
        <v>441</v>
      </c>
      <c r="E118" s="5" t="s">
        <v>82</v>
      </c>
      <c r="F118" s="6">
        <v>2215</v>
      </c>
      <c r="G118" s="6">
        <v>1169</v>
      </c>
      <c r="H118" s="6">
        <v>1046</v>
      </c>
      <c r="I118" s="17">
        <f t="shared" si="2"/>
        <v>894.781864841745</v>
      </c>
      <c r="J118" s="15">
        <f t="shared" si="3"/>
        <v>2</v>
      </c>
    </row>
    <row r="119" spans="1:10">
      <c r="A119" s="16">
        <v>108</v>
      </c>
      <c r="B119" s="3">
        <v>45</v>
      </c>
      <c r="C119" s="4" t="s">
        <v>126</v>
      </c>
      <c r="D119" s="9" t="s">
        <v>441</v>
      </c>
      <c r="E119" s="5" t="s">
        <v>82</v>
      </c>
      <c r="F119" s="6">
        <v>1754</v>
      </c>
      <c r="G119" s="6">
        <v>946</v>
      </c>
      <c r="H119" s="6">
        <v>808</v>
      </c>
      <c r="I119" s="17">
        <f t="shared" si="2"/>
        <v>854.12262156448207</v>
      </c>
      <c r="J119" s="15">
        <f t="shared" si="3"/>
        <v>2</v>
      </c>
    </row>
    <row r="120" spans="1:10">
      <c r="A120" s="16">
        <v>109</v>
      </c>
      <c r="B120" s="3">
        <v>46</v>
      </c>
      <c r="C120" s="4" t="s">
        <v>127</v>
      </c>
      <c r="D120" s="9" t="s">
        <v>441</v>
      </c>
      <c r="E120" s="5" t="s">
        <v>82</v>
      </c>
      <c r="F120" s="6">
        <v>1497</v>
      </c>
      <c r="G120" s="6">
        <v>796</v>
      </c>
      <c r="H120" s="6">
        <v>701</v>
      </c>
      <c r="I120" s="17">
        <f t="shared" si="2"/>
        <v>880.6532663316583</v>
      </c>
      <c r="J120" s="15">
        <f t="shared" si="3"/>
        <v>2</v>
      </c>
    </row>
    <row r="121" spans="1:10">
      <c r="A121" s="16">
        <v>110</v>
      </c>
      <c r="B121" s="3">
        <v>47</v>
      </c>
      <c r="C121" s="4" t="s">
        <v>128</v>
      </c>
      <c r="D121" s="9" t="s">
        <v>441</v>
      </c>
      <c r="E121" s="5" t="s">
        <v>82</v>
      </c>
      <c r="F121" s="6">
        <v>788</v>
      </c>
      <c r="G121" s="6">
        <v>408</v>
      </c>
      <c r="H121" s="6">
        <v>380</v>
      </c>
      <c r="I121" s="17">
        <f t="shared" si="2"/>
        <v>931.37254901960785</v>
      </c>
      <c r="J121" s="15">
        <f t="shared" si="3"/>
        <v>1</v>
      </c>
    </row>
    <row r="122" spans="1:10">
      <c r="A122" s="16">
        <v>111</v>
      </c>
      <c r="B122" s="3">
        <v>48</v>
      </c>
      <c r="C122" s="4" t="s">
        <v>129</v>
      </c>
      <c r="D122" s="9" t="s">
        <v>441</v>
      </c>
      <c r="E122" s="5" t="s">
        <v>82</v>
      </c>
      <c r="F122" s="6">
        <v>652</v>
      </c>
      <c r="G122" s="6">
        <v>337</v>
      </c>
      <c r="H122" s="6">
        <v>315</v>
      </c>
      <c r="I122" s="17">
        <f t="shared" si="2"/>
        <v>934.71810089020767</v>
      </c>
      <c r="J122" s="15">
        <f t="shared" si="3"/>
        <v>1</v>
      </c>
    </row>
    <row r="123" spans="1:10">
      <c r="A123" s="16">
        <v>112</v>
      </c>
      <c r="B123" s="3">
        <v>49</v>
      </c>
      <c r="C123" s="4" t="s">
        <v>130</v>
      </c>
      <c r="D123" s="9" t="s">
        <v>441</v>
      </c>
      <c r="E123" s="5" t="s">
        <v>82</v>
      </c>
      <c r="F123" s="6">
        <v>1018</v>
      </c>
      <c r="G123" s="6">
        <v>539</v>
      </c>
      <c r="H123" s="6">
        <v>479</v>
      </c>
      <c r="I123" s="17">
        <f t="shared" si="2"/>
        <v>888.68274582560286</v>
      </c>
      <c r="J123" s="15">
        <f t="shared" si="3"/>
        <v>2</v>
      </c>
    </row>
    <row r="124" spans="1:10">
      <c r="A124" s="16">
        <v>113</v>
      </c>
      <c r="B124" s="3">
        <v>50</v>
      </c>
      <c r="C124" s="4" t="s">
        <v>131</v>
      </c>
      <c r="D124" s="9" t="s">
        <v>441</v>
      </c>
      <c r="E124" s="5" t="s">
        <v>82</v>
      </c>
      <c r="F124" s="6">
        <v>952</v>
      </c>
      <c r="G124" s="6">
        <v>503</v>
      </c>
      <c r="H124" s="6">
        <v>449</v>
      </c>
      <c r="I124" s="17">
        <f t="shared" si="2"/>
        <v>892.64413518886681</v>
      </c>
      <c r="J124" s="15">
        <f t="shared" si="3"/>
        <v>2</v>
      </c>
    </row>
    <row r="125" spans="1:10">
      <c r="A125" s="16">
        <v>114</v>
      </c>
      <c r="B125" s="3">
        <v>51</v>
      </c>
      <c r="C125" s="4" t="s">
        <v>132</v>
      </c>
      <c r="D125" s="9" t="s">
        <v>441</v>
      </c>
      <c r="E125" s="5" t="s">
        <v>82</v>
      </c>
      <c r="F125" s="6">
        <v>1943</v>
      </c>
      <c r="G125" s="6">
        <v>1032</v>
      </c>
      <c r="H125" s="6">
        <v>911</v>
      </c>
      <c r="I125" s="17">
        <f t="shared" si="2"/>
        <v>882.75193798449618</v>
      </c>
      <c r="J125" s="15">
        <f t="shared" si="3"/>
        <v>2</v>
      </c>
    </row>
    <row r="126" spans="1:10">
      <c r="A126" s="16">
        <v>115</v>
      </c>
      <c r="B126" s="3">
        <v>52</v>
      </c>
      <c r="C126" s="4" t="s">
        <v>133</v>
      </c>
      <c r="D126" s="9" t="s">
        <v>441</v>
      </c>
      <c r="E126" s="5" t="s">
        <v>82</v>
      </c>
      <c r="F126" s="6">
        <v>978</v>
      </c>
      <c r="G126" s="6">
        <v>508</v>
      </c>
      <c r="H126" s="6">
        <v>470</v>
      </c>
      <c r="I126" s="17">
        <f t="shared" si="2"/>
        <v>925.19685039370086</v>
      </c>
      <c r="J126" s="15">
        <f t="shared" si="3"/>
        <v>1</v>
      </c>
    </row>
    <row r="127" spans="1:10">
      <c r="A127" s="16">
        <v>116</v>
      </c>
      <c r="B127" s="3">
        <v>53</v>
      </c>
      <c r="C127" s="4" t="s">
        <v>134</v>
      </c>
      <c r="D127" s="9" t="s">
        <v>441</v>
      </c>
      <c r="E127" s="5" t="s">
        <v>82</v>
      </c>
      <c r="F127" s="6">
        <v>1144</v>
      </c>
      <c r="G127" s="6">
        <v>624</v>
      </c>
      <c r="H127" s="6">
        <v>520</v>
      </c>
      <c r="I127" s="17">
        <f t="shared" si="2"/>
        <v>833.33333333333337</v>
      </c>
      <c r="J127" s="15">
        <f t="shared" si="3"/>
        <v>2</v>
      </c>
    </row>
    <row r="128" spans="1:10">
      <c r="A128" s="16">
        <v>117</v>
      </c>
      <c r="B128" s="3">
        <v>54</v>
      </c>
      <c r="C128" s="4" t="s">
        <v>135</v>
      </c>
      <c r="D128" s="9" t="s">
        <v>441</v>
      </c>
      <c r="E128" s="5" t="s">
        <v>82</v>
      </c>
      <c r="F128" s="6">
        <v>1673</v>
      </c>
      <c r="G128" s="6">
        <v>885</v>
      </c>
      <c r="H128" s="6">
        <v>788</v>
      </c>
      <c r="I128" s="17">
        <f t="shared" si="2"/>
        <v>890.39548022598865</v>
      </c>
      <c r="J128" s="15">
        <f t="shared" si="3"/>
        <v>2</v>
      </c>
    </row>
    <row r="129" spans="1:10">
      <c r="A129" s="16">
        <v>118</v>
      </c>
      <c r="B129" s="3">
        <v>55</v>
      </c>
      <c r="C129" s="4" t="s">
        <v>136</v>
      </c>
      <c r="D129" s="9" t="s">
        <v>441</v>
      </c>
      <c r="E129" s="5" t="s">
        <v>82</v>
      </c>
      <c r="F129" s="6">
        <v>334</v>
      </c>
      <c r="G129" s="6">
        <v>170</v>
      </c>
      <c r="H129" s="6">
        <v>164</v>
      </c>
      <c r="I129" s="17">
        <f t="shared" si="2"/>
        <v>964.70588235294122</v>
      </c>
      <c r="J129" s="15">
        <f t="shared" si="3"/>
        <v>1</v>
      </c>
    </row>
    <row r="130" spans="1:10">
      <c r="A130" s="16">
        <v>119</v>
      </c>
      <c r="B130" s="3">
        <v>56</v>
      </c>
      <c r="C130" s="4" t="s">
        <v>137</v>
      </c>
      <c r="D130" s="9" t="s">
        <v>441</v>
      </c>
      <c r="E130" s="5" t="s">
        <v>82</v>
      </c>
      <c r="F130" s="6">
        <v>4546</v>
      </c>
      <c r="G130" s="6">
        <v>2422</v>
      </c>
      <c r="H130" s="6">
        <v>2124</v>
      </c>
      <c r="I130" s="17">
        <f t="shared" si="2"/>
        <v>876.96118909991742</v>
      </c>
      <c r="J130" s="15">
        <f t="shared" si="3"/>
        <v>2</v>
      </c>
    </row>
    <row r="131" spans="1:10">
      <c r="A131" s="16">
        <v>120</v>
      </c>
      <c r="B131" s="3">
        <v>57</v>
      </c>
      <c r="C131" s="4" t="s">
        <v>138</v>
      </c>
      <c r="D131" s="9" t="s">
        <v>441</v>
      </c>
      <c r="E131" s="5" t="s">
        <v>82</v>
      </c>
      <c r="F131" s="6">
        <v>681</v>
      </c>
      <c r="G131" s="6">
        <v>358</v>
      </c>
      <c r="H131" s="6">
        <v>323</v>
      </c>
      <c r="I131" s="17">
        <f t="shared" si="2"/>
        <v>902.23463687150843</v>
      </c>
      <c r="J131" s="15">
        <f t="shared" si="3"/>
        <v>1</v>
      </c>
    </row>
    <row r="132" spans="1:10">
      <c r="A132" s="16">
        <v>121</v>
      </c>
      <c r="B132" s="3">
        <v>58</v>
      </c>
      <c r="C132" s="4" t="s">
        <v>139</v>
      </c>
      <c r="D132" s="9" t="s">
        <v>441</v>
      </c>
      <c r="E132" s="5" t="s">
        <v>82</v>
      </c>
      <c r="F132" s="6">
        <v>1643</v>
      </c>
      <c r="G132" s="6">
        <v>859</v>
      </c>
      <c r="H132" s="6">
        <v>784</v>
      </c>
      <c r="I132" s="17">
        <f t="shared" si="2"/>
        <v>912.68917345750879</v>
      </c>
      <c r="J132" s="15">
        <f t="shared" si="3"/>
        <v>1</v>
      </c>
    </row>
    <row r="133" spans="1:10">
      <c r="A133" s="16">
        <v>122</v>
      </c>
      <c r="B133" s="3">
        <v>59</v>
      </c>
      <c r="C133" s="4" t="s">
        <v>140</v>
      </c>
      <c r="D133" s="9" t="s">
        <v>441</v>
      </c>
      <c r="E133" s="5" t="s">
        <v>82</v>
      </c>
      <c r="F133" s="6">
        <v>76</v>
      </c>
      <c r="G133" s="6">
        <v>40</v>
      </c>
      <c r="H133" s="6">
        <v>36</v>
      </c>
      <c r="I133" s="17">
        <f t="shared" si="2"/>
        <v>900</v>
      </c>
      <c r="J133" s="15">
        <f t="shared" si="3"/>
        <v>2</v>
      </c>
    </row>
    <row r="134" spans="1:10">
      <c r="A134" s="16">
        <v>123</v>
      </c>
      <c r="B134" s="3">
        <v>60</v>
      </c>
      <c r="C134" s="4" t="s">
        <v>141</v>
      </c>
      <c r="D134" s="9" t="s">
        <v>441</v>
      </c>
      <c r="E134" s="5" t="s">
        <v>82</v>
      </c>
      <c r="F134" s="6">
        <v>3345</v>
      </c>
      <c r="G134" s="6">
        <v>1780</v>
      </c>
      <c r="H134" s="6">
        <v>1565</v>
      </c>
      <c r="I134" s="17">
        <f t="shared" si="2"/>
        <v>879.21348314606735</v>
      </c>
      <c r="J134" s="15">
        <f t="shared" si="3"/>
        <v>2</v>
      </c>
    </row>
    <row r="135" spans="1:10">
      <c r="A135" s="16">
        <v>124</v>
      </c>
      <c r="B135" s="3">
        <v>61</v>
      </c>
      <c r="C135" s="4" t="s">
        <v>142</v>
      </c>
      <c r="D135" s="9" t="s">
        <v>441</v>
      </c>
      <c r="E135" s="5" t="s">
        <v>82</v>
      </c>
      <c r="F135" s="6">
        <v>1084</v>
      </c>
      <c r="G135" s="6">
        <v>591</v>
      </c>
      <c r="H135" s="6">
        <v>493</v>
      </c>
      <c r="I135" s="17">
        <f t="shared" si="2"/>
        <v>834.17935702199668</v>
      </c>
      <c r="J135" s="15">
        <f t="shared" si="3"/>
        <v>2</v>
      </c>
    </row>
    <row r="136" spans="1:10">
      <c r="A136" s="16">
        <v>125</v>
      </c>
      <c r="B136" s="3">
        <v>62</v>
      </c>
      <c r="C136" s="4" t="s">
        <v>143</v>
      </c>
      <c r="D136" s="9" t="s">
        <v>441</v>
      </c>
      <c r="E136" s="5" t="s">
        <v>82</v>
      </c>
      <c r="F136" s="6">
        <v>561</v>
      </c>
      <c r="G136" s="6">
        <v>299</v>
      </c>
      <c r="H136" s="6">
        <v>262</v>
      </c>
      <c r="I136" s="17">
        <f t="shared" si="2"/>
        <v>876.25418060200661</v>
      </c>
      <c r="J136" s="15">
        <f t="shared" si="3"/>
        <v>2</v>
      </c>
    </row>
    <row r="137" spans="1:10">
      <c r="A137" s="16">
        <v>126</v>
      </c>
      <c r="B137" s="3">
        <v>63</v>
      </c>
      <c r="C137" s="4" t="s">
        <v>144</v>
      </c>
      <c r="D137" s="9" t="s">
        <v>441</v>
      </c>
      <c r="E137" s="5" t="s">
        <v>82</v>
      </c>
      <c r="F137" s="6">
        <v>423</v>
      </c>
      <c r="G137" s="6">
        <v>221</v>
      </c>
      <c r="H137" s="6">
        <v>202</v>
      </c>
      <c r="I137" s="17">
        <f t="shared" si="2"/>
        <v>914.02714932126696</v>
      </c>
      <c r="J137" s="15">
        <f t="shared" si="3"/>
        <v>1</v>
      </c>
    </row>
    <row r="138" spans="1:10">
      <c r="A138" s="16">
        <v>127</v>
      </c>
      <c r="B138" s="3">
        <v>64</v>
      </c>
      <c r="C138" s="4" t="s">
        <v>145</v>
      </c>
      <c r="D138" s="9" t="s">
        <v>441</v>
      </c>
      <c r="E138" s="5" t="s">
        <v>82</v>
      </c>
      <c r="F138" s="6">
        <v>562</v>
      </c>
      <c r="G138" s="6">
        <v>308</v>
      </c>
      <c r="H138" s="6">
        <v>254</v>
      </c>
      <c r="I138" s="17">
        <f t="shared" si="2"/>
        <v>824.67532467532465</v>
      </c>
      <c r="J138" s="15">
        <f t="shared" si="3"/>
        <v>2</v>
      </c>
    </row>
    <row r="139" spans="1:10">
      <c r="A139" s="16">
        <v>128</v>
      </c>
      <c r="B139" s="3">
        <v>65</v>
      </c>
      <c r="C139" s="4" t="s">
        <v>146</v>
      </c>
      <c r="D139" s="9" t="s">
        <v>441</v>
      </c>
      <c r="E139" s="5" t="s">
        <v>82</v>
      </c>
      <c r="F139" s="6">
        <v>99</v>
      </c>
      <c r="G139" s="6">
        <v>54</v>
      </c>
      <c r="H139" s="6">
        <v>45</v>
      </c>
      <c r="I139" s="17">
        <f t="shared" si="2"/>
        <v>833.33333333333337</v>
      </c>
      <c r="J139" s="15">
        <f t="shared" si="3"/>
        <v>2</v>
      </c>
    </row>
    <row r="140" spans="1:10">
      <c r="A140" s="16">
        <v>129</v>
      </c>
      <c r="B140" s="3">
        <v>66</v>
      </c>
      <c r="C140" s="4" t="s">
        <v>147</v>
      </c>
      <c r="D140" s="9" t="s">
        <v>441</v>
      </c>
      <c r="E140" s="5" t="s">
        <v>82</v>
      </c>
      <c r="F140" s="6">
        <v>1652</v>
      </c>
      <c r="G140" s="6">
        <v>857</v>
      </c>
      <c r="H140" s="6">
        <v>795</v>
      </c>
      <c r="I140" s="17">
        <f t="shared" ref="I140:I203" si="4">H140/G140*1000</f>
        <v>927.65460910151683</v>
      </c>
      <c r="J140" s="15">
        <f t="shared" si="3"/>
        <v>1</v>
      </c>
    </row>
    <row r="141" spans="1:10">
      <c r="A141" s="16">
        <v>130</v>
      </c>
      <c r="B141" s="3">
        <v>67</v>
      </c>
      <c r="C141" s="4" t="s">
        <v>148</v>
      </c>
      <c r="D141" s="9" t="s">
        <v>441</v>
      </c>
      <c r="E141" s="5" t="s">
        <v>82</v>
      </c>
      <c r="F141" s="6">
        <v>370</v>
      </c>
      <c r="G141" s="6">
        <v>192</v>
      </c>
      <c r="H141" s="6">
        <v>178</v>
      </c>
      <c r="I141" s="17">
        <f t="shared" si="4"/>
        <v>927.08333333333337</v>
      </c>
      <c r="J141" s="15">
        <f t="shared" ref="J141:J204" si="5">IF($I141&gt;900,1,IF($I141&gt;800,2,IF($I141&gt;700,3,0)))</f>
        <v>1</v>
      </c>
    </row>
    <row r="142" spans="1:10">
      <c r="A142" s="16">
        <v>131</v>
      </c>
      <c r="B142" s="3">
        <v>68</v>
      </c>
      <c r="C142" s="4" t="s">
        <v>149</v>
      </c>
      <c r="D142" s="9" t="s">
        <v>441</v>
      </c>
      <c r="E142" s="5" t="s">
        <v>82</v>
      </c>
      <c r="F142" s="6">
        <v>2762</v>
      </c>
      <c r="G142" s="6">
        <v>1472</v>
      </c>
      <c r="H142" s="6">
        <v>1290</v>
      </c>
      <c r="I142" s="17">
        <f t="shared" si="4"/>
        <v>876.35869565217399</v>
      </c>
      <c r="J142" s="15">
        <f t="shared" si="5"/>
        <v>2</v>
      </c>
    </row>
    <row r="143" spans="1:10">
      <c r="A143" s="16">
        <v>132</v>
      </c>
      <c r="B143" s="3">
        <v>69</v>
      </c>
      <c r="C143" s="4" t="s">
        <v>150</v>
      </c>
      <c r="D143" s="9" t="s">
        <v>441</v>
      </c>
      <c r="E143" s="5" t="s">
        <v>82</v>
      </c>
      <c r="F143" s="6">
        <v>663</v>
      </c>
      <c r="G143" s="6">
        <v>336</v>
      </c>
      <c r="H143" s="6">
        <v>327</v>
      </c>
      <c r="I143" s="17">
        <f t="shared" si="4"/>
        <v>973.21428571428567</v>
      </c>
      <c r="J143" s="15">
        <f t="shared" si="5"/>
        <v>1</v>
      </c>
    </row>
    <row r="144" spans="1:10">
      <c r="A144" s="16">
        <v>133</v>
      </c>
      <c r="B144" s="3">
        <v>70</v>
      </c>
      <c r="C144" s="4" t="s">
        <v>151</v>
      </c>
      <c r="D144" s="9" t="s">
        <v>441</v>
      </c>
      <c r="E144" s="5" t="s">
        <v>82</v>
      </c>
      <c r="F144" s="6">
        <v>438</v>
      </c>
      <c r="G144" s="6">
        <v>234</v>
      </c>
      <c r="H144" s="6">
        <v>204</v>
      </c>
      <c r="I144" s="17">
        <f t="shared" si="4"/>
        <v>871.79487179487182</v>
      </c>
      <c r="J144" s="15">
        <f t="shared" si="5"/>
        <v>2</v>
      </c>
    </row>
    <row r="145" spans="1:10">
      <c r="A145" s="16">
        <v>134</v>
      </c>
      <c r="B145" s="3">
        <v>71</v>
      </c>
      <c r="C145" s="4" t="s">
        <v>152</v>
      </c>
      <c r="D145" s="9" t="s">
        <v>441</v>
      </c>
      <c r="E145" s="5" t="s">
        <v>82</v>
      </c>
      <c r="F145" s="6">
        <v>115</v>
      </c>
      <c r="G145" s="6">
        <v>63</v>
      </c>
      <c r="H145" s="6">
        <v>52</v>
      </c>
      <c r="I145" s="17">
        <f t="shared" si="4"/>
        <v>825.39682539682531</v>
      </c>
      <c r="J145" s="15">
        <f t="shared" si="5"/>
        <v>2</v>
      </c>
    </row>
    <row r="146" spans="1:10">
      <c r="A146" s="16">
        <v>135</v>
      </c>
      <c r="B146" s="3">
        <v>72</v>
      </c>
      <c r="C146" s="4" t="s">
        <v>153</v>
      </c>
      <c r="D146" s="9" t="s">
        <v>441</v>
      </c>
      <c r="E146" s="5" t="s">
        <v>82</v>
      </c>
      <c r="F146" s="6">
        <v>1830</v>
      </c>
      <c r="G146" s="6">
        <v>985</v>
      </c>
      <c r="H146" s="6">
        <v>845</v>
      </c>
      <c r="I146" s="17">
        <f t="shared" si="4"/>
        <v>857.86802030456852</v>
      </c>
      <c r="J146" s="15">
        <f t="shared" si="5"/>
        <v>2</v>
      </c>
    </row>
    <row r="147" spans="1:10">
      <c r="A147" s="16">
        <v>136</v>
      </c>
      <c r="B147" s="3">
        <v>73</v>
      </c>
      <c r="C147" s="4" t="s">
        <v>154</v>
      </c>
      <c r="D147" s="9" t="s">
        <v>441</v>
      </c>
      <c r="E147" s="5" t="s">
        <v>82</v>
      </c>
      <c r="F147" s="6">
        <v>1090</v>
      </c>
      <c r="G147" s="6">
        <v>584</v>
      </c>
      <c r="H147" s="6">
        <v>506</v>
      </c>
      <c r="I147" s="17">
        <f t="shared" si="4"/>
        <v>866.43835616438355</v>
      </c>
      <c r="J147" s="15">
        <f t="shared" si="5"/>
        <v>2</v>
      </c>
    </row>
    <row r="148" spans="1:10">
      <c r="A148" s="16">
        <v>137</v>
      </c>
      <c r="B148" s="3">
        <v>74</v>
      </c>
      <c r="C148" s="4" t="s">
        <v>155</v>
      </c>
      <c r="D148" s="9" t="s">
        <v>441</v>
      </c>
      <c r="E148" s="5" t="s">
        <v>82</v>
      </c>
      <c r="F148" s="6">
        <v>2579</v>
      </c>
      <c r="G148" s="6">
        <v>1377</v>
      </c>
      <c r="H148" s="6">
        <v>1202</v>
      </c>
      <c r="I148" s="17">
        <f t="shared" si="4"/>
        <v>872.91212781408854</v>
      </c>
      <c r="J148" s="15">
        <f t="shared" si="5"/>
        <v>2</v>
      </c>
    </row>
    <row r="149" spans="1:10">
      <c r="A149" s="16">
        <v>138</v>
      </c>
      <c r="B149" s="3">
        <v>75</v>
      </c>
      <c r="C149" s="4" t="s">
        <v>156</v>
      </c>
      <c r="D149" s="9" t="s">
        <v>441</v>
      </c>
      <c r="E149" s="5" t="s">
        <v>82</v>
      </c>
      <c r="F149" s="6">
        <v>1069</v>
      </c>
      <c r="G149" s="6">
        <v>560</v>
      </c>
      <c r="H149" s="6">
        <v>509</v>
      </c>
      <c r="I149" s="17">
        <f t="shared" si="4"/>
        <v>908.92857142857144</v>
      </c>
      <c r="J149" s="15">
        <f t="shared" si="5"/>
        <v>1</v>
      </c>
    </row>
    <row r="150" spans="1:10">
      <c r="A150" s="16">
        <v>139</v>
      </c>
      <c r="B150" s="3">
        <v>76</v>
      </c>
      <c r="C150" s="4" t="s">
        <v>157</v>
      </c>
      <c r="D150" s="9" t="s">
        <v>441</v>
      </c>
      <c r="E150" s="5" t="s">
        <v>82</v>
      </c>
      <c r="F150" s="6">
        <v>1090</v>
      </c>
      <c r="G150" s="6">
        <v>590</v>
      </c>
      <c r="H150" s="6">
        <v>500</v>
      </c>
      <c r="I150" s="17">
        <f t="shared" si="4"/>
        <v>847.45762711864404</v>
      </c>
      <c r="J150" s="15">
        <f t="shared" si="5"/>
        <v>2</v>
      </c>
    </row>
    <row r="151" spans="1:10">
      <c r="A151" s="16">
        <v>140</v>
      </c>
      <c r="B151" s="3">
        <v>77</v>
      </c>
      <c r="C151" s="4" t="s">
        <v>158</v>
      </c>
      <c r="D151" s="9" t="s">
        <v>441</v>
      </c>
      <c r="E151" s="5" t="s">
        <v>82</v>
      </c>
      <c r="F151" s="6">
        <v>230</v>
      </c>
      <c r="G151" s="6">
        <v>120</v>
      </c>
      <c r="H151" s="6">
        <v>110</v>
      </c>
      <c r="I151" s="17">
        <f t="shared" si="4"/>
        <v>916.66666666666663</v>
      </c>
      <c r="J151" s="15">
        <f t="shared" si="5"/>
        <v>1</v>
      </c>
    </row>
    <row r="152" spans="1:10">
      <c r="A152" s="16">
        <v>141</v>
      </c>
      <c r="B152" s="3">
        <v>78</v>
      </c>
      <c r="C152" s="4" t="s">
        <v>159</v>
      </c>
      <c r="D152" s="9" t="s">
        <v>441</v>
      </c>
      <c r="E152" s="5" t="s">
        <v>82</v>
      </c>
      <c r="F152" s="6">
        <v>3134</v>
      </c>
      <c r="G152" s="6">
        <v>1647</v>
      </c>
      <c r="H152" s="6">
        <v>1487</v>
      </c>
      <c r="I152" s="17">
        <f t="shared" si="4"/>
        <v>902.85367334547664</v>
      </c>
      <c r="J152" s="15">
        <f t="shared" si="5"/>
        <v>1</v>
      </c>
    </row>
    <row r="153" spans="1:10">
      <c r="A153" s="16">
        <v>142</v>
      </c>
      <c r="B153" s="3">
        <v>79</v>
      </c>
      <c r="C153" s="4" t="s">
        <v>160</v>
      </c>
      <c r="D153" s="9" t="s">
        <v>441</v>
      </c>
      <c r="E153" s="5" t="s">
        <v>82</v>
      </c>
      <c r="F153" s="6">
        <v>996</v>
      </c>
      <c r="G153" s="6">
        <v>516</v>
      </c>
      <c r="H153" s="6">
        <v>480</v>
      </c>
      <c r="I153" s="17">
        <f t="shared" si="4"/>
        <v>930.23255813953483</v>
      </c>
      <c r="J153" s="15">
        <f t="shared" si="5"/>
        <v>1</v>
      </c>
    </row>
    <row r="154" spans="1:10">
      <c r="A154" s="16">
        <v>143</v>
      </c>
      <c r="B154" s="3">
        <v>80</v>
      </c>
      <c r="C154" s="4" t="s">
        <v>161</v>
      </c>
      <c r="D154" s="9" t="s">
        <v>441</v>
      </c>
      <c r="E154" s="5" t="s">
        <v>82</v>
      </c>
      <c r="F154" s="6">
        <v>3539</v>
      </c>
      <c r="G154" s="6">
        <v>1882</v>
      </c>
      <c r="H154" s="6">
        <v>1657</v>
      </c>
      <c r="I154" s="17">
        <f t="shared" si="4"/>
        <v>880.44633368756638</v>
      </c>
      <c r="J154" s="15">
        <f t="shared" si="5"/>
        <v>2</v>
      </c>
    </row>
    <row r="155" spans="1:10">
      <c r="A155" s="16">
        <v>144</v>
      </c>
      <c r="B155" s="3">
        <v>81</v>
      </c>
      <c r="C155" s="4" t="s">
        <v>162</v>
      </c>
      <c r="D155" s="9" t="s">
        <v>441</v>
      </c>
      <c r="E155" s="5" t="s">
        <v>82</v>
      </c>
      <c r="F155" s="6">
        <v>1264</v>
      </c>
      <c r="G155" s="6">
        <v>660</v>
      </c>
      <c r="H155" s="6">
        <v>604</v>
      </c>
      <c r="I155" s="17">
        <f t="shared" si="4"/>
        <v>915.15151515151513</v>
      </c>
      <c r="J155" s="15">
        <f t="shared" si="5"/>
        <v>1</v>
      </c>
    </row>
    <row r="156" spans="1:10">
      <c r="A156" s="16">
        <v>145</v>
      </c>
      <c r="B156" s="3">
        <v>82</v>
      </c>
      <c r="C156" s="4" t="s">
        <v>163</v>
      </c>
      <c r="D156" s="9" t="s">
        <v>441</v>
      </c>
      <c r="E156" s="5" t="s">
        <v>82</v>
      </c>
      <c r="F156" s="6">
        <v>3954</v>
      </c>
      <c r="G156" s="6">
        <v>2074</v>
      </c>
      <c r="H156" s="6">
        <v>1880</v>
      </c>
      <c r="I156" s="17">
        <f t="shared" si="4"/>
        <v>906.46094503375116</v>
      </c>
      <c r="J156" s="15">
        <f t="shared" si="5"/>
        <v>1</v>
      </c>
    </row>
    <row r="157" spans="1:10">
      <c r="A157" s="16">
        <v>146</v>
      </c>
      <c r="B157" s="3">
        <v>83</v>
      </c>
      <c r="C157" s="4" t="s">
        <v>164</v>
      </c>
      <c r="D157" s="9" t="s">
        <v>441</v>
      </c>
      <c r="E157" s="5" t="s">
        <v>82</v>
      </c>
      <c r="F157" s="6">
        <v>1257</v>
      </c>
      <c r="G157" s="6">
        <v>672</v>
      </c>
      <c r="H157" s="6">
        <v>585</v>
      </c>
      <c r="I157" s="17">
        <f t="shared" si="4"/>
        <v>870.53571428571433</v>
      </c>
      <c r="J157" s="15">
        <f t="shared" si="5"/>
        <v>2</v>
      </c>
    </row>
    <row r="158" spans="1:10">
      <c r="A158" s="16">
        <v>147</v>
      </c>
      <c r="B158" s="3">
        <v>84</v>
      </c>
      <c r="C158" s="4" t="s">
        <v>165</v>
      </c>
      <c r="D158" s="9" t="s">
        <v>441</v>
      </c>
      <c r="E158" s="5" t="s">
        <v>82</v>
      </c>
      <c r="F158" s="6">
        <v>1484</v>
      </c>
      <c r="G158" s="6">
        <v>802</v>
      </c>
      <c r="H158" s="6">
        <v>682</v>
      </c>
      <c r="I158" s="17">
        <f t="shared" si="4"/>
        <v>850.37406483790528</v>
      </c>
      <c r="J158" s="15">
        <f t="shared" si="5"/>
        <v>2</v>
      </c>
    </row>
    <row r="159" spans="1:10">
      <c r="A159" s="16">
        <v>148</v>
      </c>
      <c r="B159" s="3">
        <v>1</v>
      </c>
      <c r="C159" s="4" t="s">
        <v>166</v>
      </c>
      <c r="D159" s="9" t="s">
        <v>441</v>
      </c>
      <c r="E159" s="5" t="s">
        <v>167</v>
      </c>
      <c r="F159" s="6">
        <v>1892</v>
      </c>
      <c r="G159" s="6">
        <v>998</v>
      </c>
      <c r="H159" s="6">
        <v>894</v>
      </c>
      <c r="I159" s="17">
        <f t="shared" si="4"/>
        <v>895.79158316633266</v>
      </c>
      <c r="J159" s="15">
        <f t="shared" si="5"/>
        <v>2</v>
      </c>
    </row>
    <row r="160" spans="1:10">
      <c r="A160" s="16">
        <v>149</v>
      </c>
      <c r="B160" s="3">
        <v>2</v>
      </c>
      <c r="C160" s="4" t="s">
        <v>168</v>
      </c>
      <c r="D160" s="9" t="s">
        <v>441</v>
      </c>
      <c r="E160" s="5" t="s">
        <v>167</v>
      </c>
      <c r="F160" s="6">
        <v>1014</v>
      </c>
      <c r="G160" s="6">
        <v>536</v>
      </c>
      <c r="H160" s="6">
        <v>478</v>
      </c>
      <c r="I160" s="17">
        <f t="shared" si="4"/>
        <v>891.79104477611941</v>
      </c>
      <c r="J160" s="15">
        <f t="shared" si="5"/>
        <v>2</v>
      </c>
    </row>
    <row r="161" spans="1:10">
      <c r="A161" s="16">
        <v>150</v>
      </c>
      <c r="B161" s="3">
        <v>3</v>
      </c>
      <c r="C161" s="9" t="s">
        <v>169</v>
      </c>
      <c r="D161" s="9" t="s">
        <v>441</v>
      </c>
      <c r="E161" s="5" t="s">
        <v>167</v>
      </c>
      <c r="F161" s="6">
        <v>2128</v>
      </c>
      <c r="G161" s="6">
        <v>1126</v>
      </c>
      <c r="H161" s="6">
        <v>1002</v>
      </c>
      <c r="I161" s="17">
        <f t="shared" si="4"/>
        <v>889.8756660746003</v>
      </c>
      <c r="J161" s="15">
        <f t="shared" si="5"/>
        <v>2</v>
      </c>
    </row>
    <row r="162" spans="1:10">
      <c r="A162" s="16">
        <v>151</v>
      </c>
      <c r="B162" s="3">
        <v>4</v>
      </c>
      <c r="C162" s="4" t="s">
        <v>170</v>
      </c>
      <c r="D162" s="9" t="s">
        <v>441</v>
      </c>
      <c r="E162" s="5" t="s">
        <v>167</v>
      </c>
      <c r="F162" s="6">
        <v>3723</v>
      </c>
      <c r="G162" s="6">
        <v>1962</v>
      </c>
      <c r="H162" s="6">
        <v>1761</v>
      </c>
      <c r="I162" s="17">
        <f t="shared" si="4"/>
        <v>897.55351681957188</v>
      </c>
      <c r="J162" s="15">
        <f t="shared" si="5"/>
        <v>2</v>
      </c>
    </row>
    <row r="163" spans="1:10">
      <c r="A163" s="16">
        <v>152</v>
      </c>
      <c r="B163" s="3">
        <v>5</v>
      </c>
      <c r="C163" s="4" t="s">
        <v>171</v>
      </c>
      <c r="D163" s="9" t="s">
        <v>441</v>
      </c>
      <c r="E163" s="5" t="s">
        <v>167</v>
      </c>
      <c r="F163" s="6">
        <v>1739</v>
      </c>
      <c r="G163" s="6">
        <v>916</v>
      </c>
      <c r="H163" s="6">
        <v>823</v>
      </c>
      <c r="I163" s="17">
        <f t="shared" si="4"/>
        <v>898.47161572052403</v>
      </c>
      <c r="J163" s="15">
        <f t="shared" si="5"/>
        <v>2</v>
      </c>
    </row>
    <row r="164" spans="1:10">
      <c r="A164" s="16">
        <v>153</v>
      </c>
      <c r="B164" s="3">
        <v>6</v>
      </c>
      <c r="C164" s="4" t="s">
        <v>172</v>
      </c>
      <c r="D164" s="9" t="s">
        <v>441</v>
      </c>
      <c r="E164" s="5" t="s">
        <v>167</v>
      </c>
      <c r="F164" s="6">
        <v>2206</v>
      </c>
      <c r="G164" s="6">
        <v>1174</v>
      </c>
      <c r="H164" s="6">
        <v>1032</v>
      </c>
      <c r="I164" s="17">
        <f t="shared" si="4"/>
        <v>879.04599659284497</v>
      </c>
      <c r="J164" s="15">
        <f t="shared" si="5"/>
        <v>2</v>
      </c>
    </row>
    <row r="165" spans="1:10">
      <c r="A165" s="16">
        <v>154</v>
      </c>
      <c r="B165" s="3">
        <v>7</v>
      </c>
      <c r="C165" s="4" t="s">
        <v>173</v>
      </c>
      <c r="D165" s="9" t="s">
        <v>441</v>
      </c>
      <c r="E165" s="5" t="s">
        <v>167</v>
      </c>
      <c r="F165" s="6">
        <v>1688</v>
      </c>
      <c r="G165" s="6">
        <v>895</v>
      </c>
      <c r="H165" s="6">
        <v>793</v>
      </c>
      <c r="I165" s="17">
        <f t="shared" si="4"/>
        <v>886.03351955307267</v>
      </c>
      <c r="J165" s="15">
        <f t="shared" si="5"/>
        <v>2</v>
      </c>
    </row>
    <row r="166" spans="1:10">
      <c r="A166" s="16">
        <v>155</v>
      </c>
      <c r="B166" s="3">
        <v>8</v>
      </c>
      <c r="C166" s="4" t="s">
        <v>174</v>
      </c>
      <c r="D166" s="9" t="s">
        <v>441</v>
      </c>
      <c r="E166" s="5" t="s">
        <v>167</v>
      </c>
      <c r="F166" s="6">
        <v>1057</v>
      </c>
      <c r="G166" s="6">
        <v>551</v>
      </c>
      <c r="H166" s="6">
        <v>506</v>
      </c>
      <c r="I166" s="17">
        <f t="shared" si="4"/>
        <v>918.33030852994557</v>
      </c>
      <c r="J166" s="15">
        <f t="shared" si="5"/>
        <v>1</v>
      </c>
    </row>
    <row r="167" spans="1:10">
      <c r="A167" s="16">
        <v>156</v>
      </c>
      <c r="B167" s="3">
        <v>9</v>
      </c>
      <c r="C167" s="4" t="s">
        <v>175</v>
      </c>
      <c r="D167" s="9" t="s">
        <v>441</v>
      </c>
      <c r="E167" s="5" t="s">
        <v>167</v>
      </c>
      <c r="F167" s="6">
        <v>1543</v>
      </c>
      <c r="G167" s="6">
        <v>806</v>
      </c>
      <c r="H167" s="6">
        <v>737</v>
      </c>
      <c r="I167" s="17">
        <f t="shared" si="4"/>
        <v>914.3920595533499</v>
      </c>
      <c r="J167" s="15">
        <f t="shared" si="5"/>
        <v>1</v>
      </c>
    </row>
    <row r="168" spans="1:10">
      <c r="A168" s="16">
        <v>157</v>
      </c>
      <c r="B168" s="3">
        <v>10</v>
      </c>
      <c r="C168" s="4" t="s">
        <v>176</v>
      </c>
      <c r="D168" s="9" t="s">
        <v>441</v>
      </c>
      <c r="E168" s="5" t="s">
        <v>167</v>
      </c>
      <c r="F168" s="6">
        <v>962</v>
      </c>
      <c r="G168" s="6">
        <v>514</v>
      </c>
      <c r="H168" s="6">
        <v>448</v>
      </c>
      <c r="I168" s="17">
        <f t="shared" si="4"/>
        <v>871.59533073929958</v>
      </c>
      <c r="J168" s="15">
        <f t="shared" si="5"/>
        <v>2</v>
      </c>
    </row>
    <row r="169" spans="1:10">
      <c r="A169" s="16">
        <v>158</v>
      </c>
      <c r="B169" s="3">
        <v>11</v>
      </c>
      <c r="C169" s="4" t="s">
        <v>177</v>
      </c>
      <c r="D169" s="9" t="s">
        <v>441</v>
      </c>
      <c r="E169" s="5" t="s">
        <v>167</v>
      </c>
      <c r="F169" s="6">
        <v>1697</v>
      </c>
      <c r="G169" s="6">
        <v>873</v>
      </c>
      <c r="H169" s="6">
        <v>824</v>
      </c>
      <c r="I169" s="17">
        <f t="shared" si="4"/>
        <v>943.87170675830464</v>
      </c>
      <c r="J169" s="15">
        <f t="shared" si="5"/>
        <v>1</v>
      </c>
    </row>
    <row r="170" spans="1:10">
      <c r="A170" s="16">
        <v>159</v>
      </c>
      <c r="B170" s="3">
        <v>12</v>
      </c>
      <c r="C170" s="4" t="s">
        <v>178</v>
      </c>
      <c r="D170" s="9" t="s">
        <v>441</v>
      </c>
      <c r="E170" s="5" t="s">
        <v>167</v>
      </c>
      <c r="F170" s="6">
        <v>1449</v>
      </c>
      <c r="G170" s="6">
        <v>759</v>
      </c>
      <c r="H170" s="6">
        <v>690</v>
      </c>
      <c r="I170" s="17">
        <f t="shared" si="4"/>
        <v>909.09090909090901</v>
      </c>
      <c r="J170" s="15">
        <f t="shared" si="5"/>
        <v>1</v>
      </c>
    </row>
    <row r="171" spans="1:10">
      <c r="A171" s="16">
        <v>160</v>
      </c>
      <c r="B171" s="3">
        <v>13</v>
      </c>
      <c r="C171" s="4" t="s">
        <v>179</v>
      </c>
      <c r="D171" s="9" t="s">
        <v>441</v>
      </c>
      <c r="E171" s="5" t="s">
        <v>167</v>
      </c>
      <c r="F171" s="6">
        <v>841</v>
      </c>
      <c r="G171" s="6">
        <v>505</v>
      </c>
      <c r="H171" s="6">
        <v>336</v>
      </c>
      <c r="I171" s="17">
        <f t="shared" si="4"/>
        <v>665.34653465346537</v>
      </c>
      <c r="J171" s="15">
        <f t="shared" si="5"/>
        <v>0</v>
      </c>
    </row>
    <row r="172" spans="1:10">
      <c r="A172" s="16">
        <v>161</v>
      </c>
      <c r="B172" s="3">
        <v>14</v>
      </c>
      <c r="C172" s="4" t="s">
        <v>180</v>
      </c>
      <c r="D172" s="9" t="s">
        <v>441</v>
      </c>
      <c r="E172" s="5" t="s">
        <v>167</v>
      </c>
      <c r="F172" s="6">
        <v>596</v>
      </c>
      <c r="G172" s="6">
        <v>312</v>
      </c>
      <c r="H172" s="6">
        <v>284</v>
      </c>
      <c r="I172" s="17">
        <f t="shared" si="4"/>
        <v>910.25641025641028</v>
      </c>
      <c r="J172" s="15">
        <f t="shared" si="5"/>
        <v>1</v>
      </c>
    </row>
    <row r="173" spans="1:10">
      <c r="A173" s="16">
        <v>162</v>
      </c>
      <c r="B173" s="3">
        <v>15</v>
      </c>
      <c r="C173" s="4" t="s">
        <v>181</v>
      </c>
      <c r="D173" s="9" t="s">
        <v>441</v>
      </c>
      <c r="E173" s="5" t="s">
        <v>167</v>
      </c>
      <c r="F173" s="6">
        <v>434</v>
      </c>
      <c r="G173" s="6">
        <v>222</v>
      </c>
      <c r="H173" s="6">
        <v>212</v>
      </c>
      <c r="I173" s="17">
        <f t="shared" si="4"/>
        <v>954.95495495495493</v>
      </c>
      <c r="J173" s="15">
        <f t="shared" si="5"/>
        <v>1</v>
      </c>
    </row>
    <row r="174" spans="1:10">
      <c r="A174" s="16">
        <v>163</v>
      </c>
      <c r="B174" s="3">
        <v>16</v>
      </c>
      <c r="C174" s="4" t="s">
        <v>182</v>
      </c>
      <c r="D174" s="9" t="s">
        <v>441</v>
      </c>
      <c r="E174" s="5" t="s">
        <v>167</v>
      </c>
      <c r="F174" s="6">
        <v>1371</v>
      </c>
      <c r="G174" s="6">
        <v>722</v>
      </c>
      <c r="H174" s="6">
        <v>649</v>
      </c>
      <c r="I174" s="17">
        <f t="shared" si="4"/>
        <v>898.89196675900268</v>
      </c>
      <c r="J174" s="15">
        <f t="shared" si="5"/>
        <v>2</v>
      </c>
    </row>
    <row r="175" spans="1:10">
      <c r="A175" s="16">
        <v>164</v>
      </c>
      <c r="B175" s="3">
        <v>17</v>
      </c>
      <c r="C175" s="4" t="s">
        <v>183</v>
      </c>
      <c r="D175" s="9" t="s">
        <v>441</v>
      </c>
      <c r="E175" s="5" t="s">
        <v>167</v>
      </c>
      <c r="F175" s="6">
        <v>1275</v>
      </c>
      <c r="G175" s="6">
        <v>674</v>
      </c>
      <c r="H175" s="6">
        <v>601</v>
      </c>
      <c r="I175" s="17">
        <f t="shared" si="4"/>
        <v>891.69139465875367</v>
      </c>
      <c r="J175" s="15">
        <f t="shared" si="5"/>
        <v>2</v>
      </c>
    </row>
    <row r="176" spans="1:10">
      <c r="A176" s="16">
        <v>165</v>
      </c>
      <c r="B176" s="3">
        <v>18</v>
      </c>
      <c r="C176" s="4" t="s">
        <v>184</v>
      </c>
      <c r="D176" s="9" t="s">
        <v>441</v>
      </c>
      <c r="E176" s="5" t="s">
        <v>167</v>
      </c>
      <c r="F176" s="6">
        <v>1514</v>
      </c>
      <c r="G176" s="6">
        <v>787</v>
      </c>
      <c r="H176" s="6">
        <v>727</v>
      </c>
      <c r="I176" s="17">
        <f t="shared" si="4"/>
        <v>923.76111817026685</v>
      </c>
      <c r="J176" s="15">
        <f t="shared" si="5"/>
        <v>1</v>
      </c>
    </row>
    <row r="177" spans="1:10">
      <c r="A177" s="16">
        <v>166</v>
      </c>
      <c r="B177" s="3">
        <v>19</v>
      </c>
      <c r="C177" s="4" t="s">
        <v>185</v>
      </c>
      <c r="D177" s="9" t="s">
        <v>441</v>
      </c>
      <c r="E177" s="5" t="s">
        <v>167</v>
      </c>
      <c r="F177" s="6">
        <v>488</v>
      </c>
      <c r="G177" s="6">
        <v>258</v>
      </c>
      <c r="H177" s="6">
        <v>230</v>
      </c>
      <c r="I177" s="17">
        <f t="shared" si="4"/>
        <v>891.47286821705427</v>
      </c>
      <c r="J177" s="15">
        <f t="shared" si="5"/>
        <v>2</v>
      </c>
    </row>
    <row r="178" spans="1:10">
      <c r="A178" s="16">
        <v>167</v>
      </c>
      <c r="B178" s="3">
        <v>20</v>
      </c>
      <c r="C178" s="4" t="s">
        <v>186</v>
      </c>
      <c r="D178" s="9" t="s">
        <v>441</v>
      </c>
      <c r="E178" s="5" t="s">
        <v>167</v>
      </c>
      <c r="F178" s="6">
        <v>1698</v>
      </c>
      <c r="G178" s="6">
        <v>928</v>
      </c>
      <c r="H178" s="6">
        <v>770</v>
      </c>
      <c r="I178" s="17">
        <f t="shared" si="4"/>
        <v>829.74137931034488</v>
      </c>
      <c r="J178" s="15">
        <f t="shared" si="5"/>
        <v>2</v>
      </c>
    </row>
    <row r="179" spans="1:10">
      <c r="A179" s="16">
        <v>168</v>
      </c>
      <c r="B179" s="3">
        <v>21</v>
      </c>
      <c r="C179" s="4" t="s">
        <v>187</v>
      </c>
      <c r="D179" s="9" t="s">
        <v>441</v>
      </c>
      <c r="E179" s="5" t="s">
        <v>167</v>
      </c>
      <c r="F179" s="6">
        <v>2283</v>
      </c>
      <c r="G179" s="6">
        <v>1230</v>
      </c>
      <c r="H179" s="6">
        <v>1053</v>
      </c>
      <c r="I179" s="17">
        <f t="shared" si="4"/>
        <v>856.09756097560978</v>
      </c>
      <c r="J179" s="15">
        <f t="shared" si="5"/>
        <v>2</v>
      </c>
    </row>
    <row r="180" spans="1:10">
      <c r="A180" s="16">
        <v>169</v>
      </c>
      <c r="B180" s="3">
        <v>22</v>
      </c>
      <c r="C180" s="4" t="s">
        <v>188</v>
      </c>
      <c r="D180" s="9" t="s">
        <v>441</v>
      </c>
      <c r="E180" s="5" t="s">
        <v>167</v>
      </c>
      <c r="F180" s="6">
        <v>961</v>
      </c>
      <c r="G180" s="6">
        <v>488</v>
      </c>
      <c r="H180" s="6">
        <v>473</v>
      </c>
      <c r="I180" s="17">
        <f t="shared" si="4"/>
        <v>969.2622950819673</v>
      </c>
      <c r="J180" s="15">
        <f t="shared" si="5"/>
        <v>1</v>
      </c>
    </row>
    <row r="181" spans="1:10">
      <c r="A181" s="16">
        <v>170</v>
      </c>
      <c r="B181" s="3">
        <v>23</v>
      </c>
      <c r="C181" s="4" t="s">
        <v>189</v>
      </c>
      <c r="D181" s="9" t="s">
        <v>441</v>
      </c>
      <c r="E181" s="5" t="s">
        <v>167</v>
      </c>
      <c r="F181" s="6">
        <v>1583</v>
      </c>
      <c r="G181" s="6">
        <v>846</v>
      </c>
      <c r="H181" s="6">
        <v>737</v>
      </c>
      <c r="I181" s="17">
        <f t="shared" si="4"/>
        <v>871.15839243498817</v>
      </c>
      <c r="J181" s="15">
        <f t="shared" si="5"/>
        <v>2</v>
      </c>
    </row>
    <row r="182" spans="1:10">
      <c r="A182" s="16">
        <v>171</v>
      </c>
      <c r="B182" s="3">
        <v>24</v>
      </c>
      <c r="C182" s="8" t="s">
        <v>190</v>
      </c>
      <c r="D182" s="9" t="s">
        <v>441</v>
      </c>
      <c r="E182" s="5" t="s">
        <v>167</v>
      </c>
      <c r="F182" s="6">
        <v>0</v>
      </c>
      <c r="G182" s="6">
        <v>0</v>
      </c>
      <c r="H182" s="6">
        <v>0</v>
      </c>
      <c r="I182" s="17">
        <v>0</v>
      </c>
      <c r="J182" s="15">
        <f t="shared" si="5"/>
        <v>0</v>
      </c>
    </row>
    <row r="183" spans="1:10">
      <c r="A183" s="16">
        <v>172</v>
      </c>
      <c r="B183" s="3">
        <v>25</v>
      </c>
      <c r="C183" s="4" t="s">
        <v>191</v>
      </c>
      <c r="D183" s="9" t="s">
        <v>441</v>
      </c>
      <c r="E183" s="5" t="s">
        <v>167</v>
      </c>
      <c r="F183" s="6">
        <v>2131</v>
      </c>
      <c r="G183" s="6">
        <v>1102</v>
      </c>
      <c r="H183" s="6">
        <v>1029</v>
      </c>
      <c r="I183" s="17">
        <f t="shared" si="4"/>
        <v>933.75680580762253</v>
      </c>
      <c r="J183" s="15">
        <f t="shared" si="5"/>
        <v>1</v>
      </c>
    </row>
    <row r="184" spans="1:10">
      <c r="A184" s="16">
        <v>173</v>
      </c>
      <c r="B184" s="3">
        <v>26</v>
      </c>
      <c r="C184" s="4" t="s">
        <v>192</v>
      </c>
      <c r="D184" s="9" t="s">
        <v>441</v>
      </c>
      <c r="E184" s="5" t="s">
        <v>167</v>
      </c>
      <c r="F184" s="6">
        <v>1272</v>
      </c>
      <c r="G184" s="6">
        <v>660</v>
      </c>
      <c r="H184" s="6">
        <v>612</v>
      </c>
      <c r="I184" s="17">
        <f t="shared" si="4"/>
        <v>927.27272727272725</v>
      </c>
      <c r="J184" s="15">
        <f t="shared" si="5"/>
        <v>1</v>
      </c>
    </row>
    <row r="185" spans="1:10">
      <c r="A185" s="16">
        <v>174</v>
      </c>
      <c r="B185" s="3">
        <v>27</v>
      </c>
      <c r="C185" s="4" t="s">
        <v>193</v>
      </c>
      <c r="D185" s="9" t="s">
        <v>441</v>
      </c>
      <c r="E185" s="5" t="s">
        <v>167</v>
      </c>
      <c r="F185" s="6">
        <v>844</v>
      </c>
      <c r="G185" s="6">
        <v>452</v>
      </c>
      <c r="H185" s="6">
        <v>392</v>
      </c>
      <c r="I185" s="17">
        <f t="shared" si="4"/>
        <v>867.25663716814165</v>
      </c>
      <c r="J185" s="15">
        <f t="shared" si="5"/>
        <v>2</v>
      </c>
    </row>
    <row r="186" spans="1:10">
      <c r="A186" s="16">
        <v>175</v>
      </c>
      <c r="B186" s="3">
        <v>28</v>
      </c>
      <c r="C186" s="4" t="s">
        <v>194</v>
      </c>
      <c r="D186" s="9" t="s">
        <v>441</v>
      </c>
      <c r="E186" s="5" t="s">
        <v>167</v>
      </c>
      <c r="F186" s="6">
        <v>657</v>
      </c>
      <c r="G186" s="6">
        <v>333</v>
      </c>
      <c r="H186" s="6">
        <v>324</v>
      </c>
      <c r="I186" s="17">
        <f t="shared" si="4"/>
        <v>972.97297297297303</v>
      </c>
      <c r="J186" s="15">
        <f t="shared" si="5"/>
        <v>1</v>
      </c>
    </row>
    <row r="187" spans="1:10">
      <c r="A187" s="16">
        <v>176</v>
      </c>
      <c r="B187" s="3">
        <v>29</v>
      </c>
      <c r="C187" s="4" t="s">
        <v>195</v>
      </c>
      <c r="D187" s="9" t="s">
        <v>441</v>
      </c>
      <c r="E187" s="5" t="s">
        <v>167</v>
      </c>
      <c r="F187" s="6">
        <v>447</v>
      </c>
      <c r="G187" s="6">
        <v>237</v>
      </c>
      <c r="H187" s="6">
        <v>210</v>
      </c>
      <c r="I187" s="17">
        <f t="shared" si="4"/>
        <v>886.07594936708858</v>
      </c>
      <c r="J187" s="15">
        <f t="shared" si="5"/>
        <v>2</v>
      </c>
    </row>
    <row r="188" spans="1:10">
      <c r="A188" s="16">
        <v>177</v>
      </c>
      <c r="B188" s="3">
        <v>30</v>
      </c>
      <c r="C188" s="4" t="s">
        <v>196</v>
      </c>
      <c r="D188" s="9" t="s">
        <v>441</v>
      </c>
      <c r="E188" s="5" t="s">
        <v>167</v>
      </c>
      <c r="F188" s="6">
        <v>1464</v>
      </c>
      <c r="G188" s="6">
        <v>752</v>
      </c>
      <c r="H188" s="6">
        <v>712</v>
      </c>
      <c r="I188" s="17">
        <f t="shared" si="4"/>
        <v>946.80851063829789</v>
      </c>
      <c r="J188" s="15">
        <f t="shared" si="5"/>
        <v>1</v>
      </c>
    </row>
    <row r="189" spans="1:10">
      <c r="A189" s="16">
        <v>178</v>
      </c>
      <c r="B189" s="3">
        <v>31</v>
      </c>
      <c r="C189" s="4" t="s">
        <v>197</v>
      </c>
      <c r="D189" s="9" t="s">
        <v>441</v>
      </c>
      <c r="E189" s="5" t="s">
        <v>167</v>
      </c>
      <c r="F189" s="6">
        <v>816</v>
      </c>
      <c r="G189" s="6">
        <v>430</v>
      </c>
      <c r="H189" s="6">
        <v>386</v>
      </c>
      <c r="I189" s="17">
        <f t="shared" si="4"/>
        <v>897.67441860465112</v>
      </c>
      <c r="J189" s="15">
        <f t="shared" si="5"/>
        <v>2</v>
      </c>
    </row>
    <row r="190" spans="1:10">
      <c r="A190" s="16">
        <v>179</v>
      </c>
      <c r="B190" s="3">
        <v>32</v>
      </c>
      <c r="C190" s="4" t="s">
        <v>198</v>
      </c>
      <c r="D190" s="9" t="s">
        <v>441</v>
      </c>
      <c r="E190" s="5" t="s">
        <v>167</v>
      </c>
      <c r="F190" s="6">
        <v>1102</v>
      </c>
      <c r="G190" s="6">
        <v>579</v>
      </c>
      <c r="H190" s="6">
        <v>523</v>
      </c>
      <c r="I190" s="17">
        <f t="shared" si="4"/>
        <v>903.2815198618307</v>
      </c>
      <c r="J190" s="15">
        <f t="shared" si="5"/>
        <v>1</v>
      </c>
    </row>
    <row r="191" spans="1:10">
      <c r="A191" s="16">
        <v>180</v>
      </c>
      <c r="B191" s="3">
        <v>33</v>
      </c>
      <c r="C191" s="4" t="s">
        <v>199</v>
      </c>
      <c r="D191" s="9" t="s">
        <v>441</v>
      </c>
      <c r="E191" s="5" t="s">
        <v>167</v>
      </c>
      <c r="F191" s="6">
        <v>3389</v>
      </c>
      <c r="G191" s="6">
        <v>1795</v>
      </c>
      <c r="H191" s="6">
        <v>1594</v>
      </c>
      <c r="I191" s="17">
        <f t="shared" si="4"/>
        <v>888.02228412256272</v>
      </c>
      <c r="J191" s="15">
        <f t="shared" si="5"/>
        <v>2</v>
      </c>
    </row>
    <row r="192" spans="1:10">
      <c r="A192" s="16">
        <v>181</v>
      </c>
      <c r="B192" s="3">
        <v>34</v>
      </c>
      <c r="C192" s="4" t="s">
        <v>200</v>
      </c>
      <c r="D192" s="9" t="s">
        <v>441</v>
      </c>
      <c r="E192" s="5" t="s">
        <v>167</v>
      </c>
      <c r="F192" s="6">
        <v>987</v>
      </c>
      <c r="G192" s="6">
        <v>508</v>
      </c>
      <c r="H192" s="6">
        <v>479</v>
      </c>
      <c r="I192" s="17">
        <f t="shared" si="4"/>
        <v>942.91338582677167</v>
      </c>
      <c r="J192" s="15">
        <f t="shared" si="5"/>
        <v>1</v>
      </c>
    </row>
    <row r="193" spans="1:10">
      <c r="A193" s="16">
        <v>182</v>
      </c>
      <c r="B193" s="3">
        <v>35</v>
      </c>
      <c r="C193" s="4" t="s">
        <v>201</v>
      </c>
      <c r="D193" s="9" t="s">
        <v>441</v>
      </c>
      <c r="E193" s="5" t="s">
        <v>167</v>
      </c>
      <c r="F193" s="6">
        <v>1122</v>
      </c>
      <c r="G193" s="6">
        <v>571</v>
      </c>
      <c r="H193" s="6">
        <v>551</v>
      </c>
      <c r="I193" s="17">
        <f t="shared" si="4"/>
        <v>964.97373029772325</v>
      </c>
      <c r="J193" s="15">
        <f t="shared" si="5"/>
        <v>1</v>
      </c>
    </row>
    <row r="194" spans="1:10">
      <c r="A194" s="16">
        <v>183</v>
      </c>
      <c r="B194" s="3">
        <v>36</v>
      </c>
      <c r="C194" s="4" t="s">
        <v>202</v>
      </c>
      <c r="D194" s="9" t="s">
        <v>441</v>
      </c>
      <c r="E194" s="5" t="s">
        <v>167</v>
      </c>
      <c r="F194" s="6">
        <v>815</v>
      </c>
      <c r="G194" s="6">
        <v>423</v>
      </c>
      <c r="H194" s="6">
        <v>392</v>
      </c>
      <c r="I194" s="17">
        <f t="shared" si="4"/>
        <v>926.71394799054372</v>
      </c>
      <c r="J194" s="15">
        <f t="shared" si="5"/>
        <v>1</v>
      </c>
    </row>
    <row r="195" spans="1:10">
      <c r="A195" s="16">
        <v>184</v>
      </c>
      <c r="B195" s="3">
        <v>37</v>
      </c>
      <c r="C195" s="4" t="s">
        <v>203</v>
      </c>
      <c r="D195" s="9" t="s">
        <v>441</v>
      </c>
      <c r="E195" s="5" t="s">
        <v>167</v>
      </c>
      <c r="F195" s="6">
        <v>848</v>
      </c>
      <c r="G195" s="6">
        <v>438</v>
      </c>
      <c r="H195" s="6">
        <v>410</v>
      </c>
      <c r="I195" s="17">
        <f t="shared" si="4"/>
        <v>936.07305936073055</v>
      </c>
      <c r="J195" s="15">
        <f t="shared" si="5"/>
        <v>1</v>
      </c>
    </row>
    <row r="196" spans="1:10">
      <c r="A196" s="16">
        <v>185</v>
      </c>
      <c r="B196" s="3">
        <v>38</v>
      </c>
      <c r="C196" s="4" t="s">
        <v>204</v>
      </c>
      <c r="D196" s="9" t="s">
        <v>441</v>
      </c>
      <c r="E196" s="5" t="s">
        <v>167</v>
      </c>
      <c r="F196" s="6">
        <v>305</v>
      </c>
      <c r="G196" s="6">
        <v>160</v>
      </c>
      <c r="H196" s="6">
        <v>145</v>
      </c>
      <c r="I196" s="17">
        <f t="shared" si="4"/>
        <v>906.25</v>
      </c>
      <c r="J196" s="15">
        <f t="shared" si="5"/>
        <v>1</v>
      </c>
    </row>
    <row r="197" spans="1:10">
      <c r="A197" s="16">
        <v>186</v>
      </c>
      <c r="B197" s="3">
        <v>39</v>
      </c>
      <c r="C197" s="4" t="s">
        <v>205</v>
      </c>
      <c r="D197" s="9" t="s">
        <v>441</v>
      </c>
      <c r="E197" s="5" t="s">
        <v>167</v>
      </c>
      <c r="F197" s="6">
        <v>2865</v>
      </c>
      <c r="G197" s="6">
        <v>1481</v>
      </c>
      <c r="H197" s="6">
        <v>1384</v>
      </c>
      <c r="I197" s="17">
        <f t="shared" si="4"/>
        <v>934.50371370695473</v>
      </c>
      <c r="J197" s="15">
        <f t="shared" si="5"/>
        <v>1</v>
      </c>
    </row>
    <row r="198" spans="1:10">
      <c r="A198" s="16">
        <v>187</v>
      </c>
      <c r="B198" s="3">
        <v>40</v>
      </c>
      <c r="C198" s="8" t="s">
        <v>206</v>
      </c>
      <c r="D198" s="9" t="s">
        <v>441</v>
      </c>
      <c r="E198" s="5" t="s">
        <v>167</v>
      </c>
      <c r="F198" s="6">
        <v>0</v>
      </c>
      <c r="G198" s="6">
        <v>0</v>
      </c>
      <c r="H198" s="6">
        <v>0</v>
      </c>
      <c r="I198" s="17">
        <v>0</v>
      </c>
      <c r="J198" s="15">
        <f t="shared" si="5"/>
        <v>0</v>
      </c>
    </row>
    <row r="199" spans="1:10">
      <c r="A199" s="16">
        <v>188</v>
      </c>
      <c r="B199" s="3">
        <v>41</v>
      </c>
      <c r="C199" s="4" t="s">
        <v>207</v>
      </c>
      <c r="D199" s="9" t="s">
        <v>441</v>
      </c>
      <c r="E199" s="5" t="s">
        <v>167</v>
      </c>
      <c r="F199" s="6">
        <v>604</v>
      </c>
      <c r="G199" s="6">
        <v>342</v>
      </c>
      <c r="H199" s="6">
        <v>262</v>
      </c>
      <c r="I199" s="17">
        <f t="shared" si="4"/>
        <v>766.0818713450293</v>
      </c>
      <c r="J199" s="15">
        <f t="shared" si="5"/>
        <v>3</v>
      </c>
    </row>
    <row r="200" spans="1:10">
      <c r="A200" s="16">
        <v>189</v>
      </c>
      <c r="B200" s="3">
        <v>42</v>
      </c>
      <c r="C200" s="4" t="s">
        <v>208</v>
      </c>
      <c r="D200" s="9" t="s">
        <v>441</v>
      </c>
      <c r="E200" s="5" t="s">
        <v>167</v>
      </c>
      <c r="F200" s="6">
        <v>3289</v>
      </c>
      <c r="G200" s="6">
        <v>1707</v>
      </c>
      <c r="H200" s="6">
        <v>1582</v>
      </c>
      <c r="I200" s="17">
        <f t="shared" si="4"/>
        <v>926.77211482132395</v>
      </c>
      <c r="J200" s="15">
        <f t="shared" si="5"/>
        <v>1</v>
      </c>
    </row>
    <row r="201" spans="1:10">
      <c r="A201" s="16">
        <v>190</v>
      </c>
      <c r="B201" s="3">
        <v>43</v>
      </c>
      <c r="C201" s="4" t="s">
        <v>209</v>
      </c>
      <c r="D201" s="9" t="s">
        <v>441</v>
      </c>
      <c r="E201" s="5" t="s">
        <v>167</v>
      </c>
      <c r="F201" s="6">
        <v>3341</v>
      </c>
      <c r="G201" s="6">
        <v>1756</v>
      </c>
      <c r="H201" s="6">
        <v>1585</v>
      </c>
      <c r="I201" s="17">
        <f t="shared" si="4"/>
        <v>902.61958997722093</v>
      </c>
      <c r="J201" s="15">
        <f t="shared" si="5"/>
        <v>1</v>
      </c>
    </row>
    <row r="202" spans="1:10">
      <c r="A202" s="16">
        <v>191</v>
      </c>
      <c r="B202" s="3">
        <v>44</v>
      </c>
      <c r="C202" s="4" t="s">
        <v>210</v>
      </c>
      <c r="D202" s="9" t="s">
        <v>441</v>
      </c>
      <c r="E202" s="5" t="s">
        <v>167</v>
      </c>
      <c r="F202" s="6">
        <v>1370</v>
      </c>
      <c r="G202" s="6">
        <v>743</v>
      </c>
      <c r="H202" s="6">
        <v>627</v>
      </c>
      <c r="I202" s="17">
        <f t="shared" si="4"/>
        <v>843.87617765814275</v>
      </c>
      <c r="J202" s="15">
        <f t="shared" si="5"/>
        <v>2</v>
      </c>
    </row>
    <row r="203" spans="1:10">
      <c r="A203" s="16">
        <v>192</v>
      </c>
      <c r="B203" s="3">
        <v>45</v>
      </c>
      <c r="C203" s="4" t="s">
        <v>211</v>
      </c>
      <c r="D203" s="9" t="s">
        <v>441</v>
      </c>
      <c r="E203" s="5" t="s">
        <v>167</v>
      </c>
      <c r="F203" s="6">
        <v>3601</v>
      </c>
      <c r="G203" s="6">
        <v>1908</v>
      </c>
      <c r="H203" s="6">
        <v>1693</v>
      </c>
      <c r="I203" s="17">
        <f t="shared" si="4"/>
        <v>887.31656184486371</v>
      </c>
      <c r="J203" s="15">
        <f t="shared" si="5"/>
        <v>2</v>
      </c>
    </row>
    <row r="204" spans="1:10">
      <c r="A204" s="16">
        <v>193</v>
      </c>
      <c r="B204" s="3">
        <v>46</v>
      </c>
      <c r="C204" s="4" t="s">
        <v>212</v>
      </c>
      <c r="D204" s="9" t="s">
        <v>441</v>
      </c>
      <c r="E204" s="5" t="s">
        <v>167</v>
      </c>
      <c r="F204" s="6">
        <v>805</v>
      </c>
      <c r="G204" s="6">
        <v>430</v>
      </c>
      <c r="H204" s="6">
        <v>375</v>
      </c>
      <c r="I204" s="17">
        <f t="shared" ref="I204:I267" si="6">H204/G204*1000</f>
        <v>872.09302325581393</v>
      </c>
      <c r="J204" s="15">
        <f t="shared" si="5"/>
        <v>2</v>
      </c>
    </row>
    <row r="205" spans="1:10">
      <c r="A205" s="16">
        <v>194</v>
      </c>
      <c r="B205" s="3">
        <v>47</v>
      </c>
      <c r="C205" s="4" t="s">
        <v>213</v>
      </c>
      <c r="D205" s="9" t="s">
        <v>441</v>
      </c>
      <c r="E205" s="5" t="s">
        <v>167</v>
      </c>
      <c r="F205" s="6">
        <v>1011</v>
      </c>
      <c r="G205" s="6">
        <v>532</v>
      </c>
      <c r="H205" s="6">
        <v>479</v>
      </c>
      <c r="I205" s="17">
        <f t="shared" si="6"/>
        <v>900.37593984962405</v>
      </c>
      <c r="J205" s="15">
        <f t="shared" ref="J205:J268" si="7">IF($I205&gt;900,1,IF($I205&gt;800,2,IF($I205&gt;700,3,0)))</f>
        <v>1</v>
      </c>
    </row>
    <row r="206" spans="1:10">
      <c r="A206" s="16">
        <v>195</v>
      </c>
      <c r="B206" s="3">
        <v>48</v>
      </c>
      <c r="C206" s="4" t="s">
        <v>214</v>
      </c>
      <c r="D206" s="9" t="s">
        <v>441</v>
      </c>
      <c r="E206" s="5" t="s">
        <v>167</v>
      </c>
      <c r="F206" s="6">
        <v>1286</v>
      </c>
      <c r="G206" s="6">
        <v>672</v>
      </c>
      <c r="H206" s="6">
        <v>614</v>
      </c>
      <c r="I206" s="17">
        <f t="shared" si="6"/>
        <v>913.69047619047615</v>
      </c>
      <c r="J206" s="15">
        <f t="shared" si="7"/>
        <v>1</v>
      </c>
    </row>
    <row r="207" spans="1:10">
      <c r="A207" s="16">
        <v>196</v>
      </c>
      <c r="B207" s="3">
        <v>49</v>
      </c>
      <c r="C207" s="4" t="s">
        <v>215</v>
      </c>
      <c r="D207" s="9" t="s">
        <v>441</v>
      </c>
      <c r="E207" s="5" t="s">
        <v>167</v>
      </c>
      <c r="F207" s="6">
        <v>651</v>
      </c>
      <c r="G207" s="6">
        <v>349</v>
      </c>
      <c r="H207" s="6">
        <v>302</v>
      </c>
      <c r="I207" s="17">
        <f t="shared" si="6"/>
        <v>865.32951289398284</v>
      </c>
      <c r="J207" s="15">
        <f t="shared" si="7"/>
        <v>2</v>
      </c>
    </row>
    <row r="208" spans="1:10">
      <c r="A208" s="16">
        <v>197</v>
      </c>
      <c r="B208" s="3">
        <v>50</v>
      </c>
      <c r="C208" s="4" t="s">
        <v>216</v>
      </c>
      <c r="D208" s="9" t="s">
        <v>441</v>
      </c>
      <c r="E208" s="5" t="s">
        <v>167</v>
      </c>
      <c r="F208" s="6">
        <v>1498</v>
      </c>
      <c r="G208" s="6">
        <v>811</v>
      </c>
      <c r="H208" s="6">
        <v>687</v>
      </c>
      <c r="I208" s="17">
        <f t="shared" si="6"/>
        <v>847.10234278668304</v>
      </c>
      <c r="J208" s="15">
        <f t="shared" si="7"/>
        <v>2</v>
      </c>
    </row>
    <row r="209" spans="1:10">
      <c r="A209" s="16">
        <v>198</v>
      </c>
      <c r="B209" s="3">
        <v>51</v>
      </c>
      <c r="C209" s="4" t="s">
        <v>217</v>
      </c>
      <c r="D209" s="9" t="s">
        <v>441</v>
      </c>
      <c r="E209" s="5" t="s">
        <v>167</v>
      </c>
      <c r="F209" s="6">
        <v>1390</v>
      </c>
      <c r="G209" s="6">
        <v>718</v>
      </c>
      <c r="H209" s="6">
        <v>672</v>
      </c>
      <c r="I209" s="17">
        <f t="shared" si="6"/>
        <v>935.93314763231194</v>
      </c>
      <c r="J209" s="15">
        <f t="shared" si="7"/>
        <v>1</v>
      </c>
    </row>
    <row r="210" spans="1:10">
      <c r="A210" s="16">
        <v>199</v>
      </c>
      <c r="B210" s="3">
        <v>52</v>
      </c>
      <c r="C210" s="4" t="s">
        <v>218</v>
      </c>
      <c r="D210" s="9" t="s">
        <v>441</v>
      </c>
      <c r="E210" s="5" t="s">
        <v>167</v>
      </c>
      <c r="F210" s="6">
        <v>1138</v>
      </c>
      <c r="G210" s="6">
        <v>601</v>
      </c>
      <c r="H210" s="6">
        <v>537</v>
      </c>
      <c r="I210" s="17">
        <f t="shared" si="6"/>
        <v>893.51081530782028</v>
      </c>
      <c r="J210" s="15">
        <f t="shared" si="7"/>
        <v>2</v>
      </c>
    </row>
    <row r="211" spans="1:10">
      <c r="A211" s="16">
        <v>200</v>
      </c>
      <c r="B211" s="3">
        <v>53</v>
      </c>
      <c r="C211" s="4" t="s">
        <v>219</v>
      </c>
      <c r="D211" s="9" t="s">
        <v>441</v>
      </c>
      <c r="E211" s="5" t="s">
        <v>167</v>
      </c>
      <c r="F211" s="6">
        <v>1877</v>
      </c>
      <c r="G211" s="6">
        <v>980</v>
      </c>
      <c r="H211" s="6">
        <v>897</v>
      </c>
      <c r="I211" s="17">
        <f t="shared" si="6"/>
        <v>915.30612244897952</v>
      </c>
      <c r="J211" s="15">
        <f t="shared" si="7"/>
        <v>1</v>
      </c>
    </row>
    <row r="212" spans="1:10">
      <c r="A212" s="16">
        <v>201</v>
      </c>
      <c r="B212" s="3">
        <v>1</v>
      </c>
      <c r="C212" s="4" t="s">
        <v>220</v>
      </c>
      <c r="D212" s="9" t="s">
        <v>441</v>
      </c>
      <c r="E212" s="5" t="s">
        <v>221</v>
      </c>
      <c r="F212" s="6">
        <v>6984</v>
      </c>
      <c r="G212" s="6">
        <v>3710</v>
      </c>
      <c r="H212" s="6">
        <v>3274</v>
      </c>
      <c r="I212" s="17">
        <f t="shared" si="6"/>
        <v>882.47978436657684</v>
      </c>
      <c r="J212" s="15">
        <f t="shared" si="7"/>
        <v>2</v>
      </c>
    </row>
    <row r="213" spans="1:10">
      <c r="A213" s="16">
        <v>202</v>
      </c>
      <c r="B213" s="3">
        <v>2</v>
      </c>
      <c r="C213" s="4" t="s">
        <v>222</v>
      </c>
      <c r="D213" s="9" t="s">
        <v>441</v>
      </c>
      <c r="E213" s="5" t="s">
        <v>221</v>
      </c>
      <c r="F213" s="6">
        <v>1799</v>
      </c>
      <c r="G213" s="6">
        <v>955</v>
      </c>
      <c r="H213" s="6">
        <v>844</v>
      </c>
      <c r="I213" s="17">
        <f t="shared" si="6"/>
        <v>883.76963350785343</v>
      </c>
      <c r="J213" s="15">
        <f t="shared" si="7"/>
        <v>2</v>
      </c>
    </row>
    <row r="214" spans="1:10">
      <c r="A214" s="16">
        <v>203</v>
      </c>
      <c r="B214" s="3">
        <v>3</v>
      </c>
      <c r="C214" s="4" t="s">
        <v>223</v>
      </c>
      <c r="D214" s="9" t="s">
        <v>441</v>
      </c>
      <c r="E214" s="5" t="s">
        <v>221</v>
      </c>
      <c r="F214" s="6">
        <v>1764</v>
      </c>
      <c r="G214" s="6">
        <v>928</v>
      </c>
      <c r="H214" s="6">
        <v>836</v>
      </c>
      <c r="I214" s="17">
        <f t="shared" si="6"/>
        <v>900.86206896551721</v>
      </c>
      <c r="J214" s="15">
        <f t="shared" si="7"/>
        <v>1</v>
      </c>
    </row>
    <row r="215" spans="1:10">
      <c r="A215" s="16">
        <v>204</v>
      </c>
      <c r="B215" s="3">
        <v>4</v>
      </c>
      <c r="C215" s="4" t="s">
        <v>224</v>
      </c>
      <c r="D215" s="9" t="s">
        <v>441</v>
      </c>
      <c r="E215" s="5" t="s">
        <v>221</v>
      </c>
      <c r="F215" s="6">
        <v>1096</v>
      </c>
      <c r="G215" s="6">
        <v>575</v>
      </c>
      <c r="H215" s="6">
        <v>521</v>
      </c>
      <c r="I215" s="17">
        <f t="shared" si="6"/>
        <v>906.08695652173913</v>
      </c>
      <c r="J215" s="15">
        <f t="shared" si="7"/>
        <v>1</v>
      </c>
    </row>
    <row r="216" spans="1:10">
      <c r="A216" s="16">
        <v>205</v>
      </c>
      <c r="B216" s="3">
        <v>5</v>
      </c>
      <c r="C216" s="4" t="s">
        <v>225</v>
      </c>
      <c r="D216" s="9" t="s">
        <v>441</v>
      </c>
      <c r="E216" s="5" t="s">
        <v>221</v>
      </c>
      <c r="F216" s="6">
        <v>1763</v>
      </c>
      <c r="G216" s="6">
        <v>950</v>
      </c>
      <c r="H216" s="6">
        <v>813</v>
      </c>
      <c r="I216" s="17">
        <f t="shared" si="6"/>
        <v>855.78947368421052</v>
      </c>
      <c r="J216" s="15">
        <f t="shared" si="7"/>
        <v>2</v>
      </c>
    </row>
    <row r="217" spans="1:10">
      <c r="A217" s="16">
        <v>206</v>
      </c>
      <c r="B217" s="3">
        <v>6</v>
      </c>
      <c r="C217" s="4" t="s">
        <v>226</v>
      </c>
      <c r="D217" s="9" t="s">
        <v>441</v>
      </c>
      <c r="E217" s="5" t="s">
        <v>221</v>
      </c>
      <c r="F217" s="6">
        <v>838</v>
      </c>
      <c r="G217" s="6">
        <v>427</v>
      </c>
      <c r="H217" s="6">
        <v>411</v>
      </c>
      <c r="I217" s="17">
        <f t="shared" si="6"/>
        <v>962.52927400468377</v>
      </c>
      <c r="J217" s="15">
        <f t="shared" si="7"/>
        <v>1</v>
      </c>
    </row>
    <row r="218" spans="1:10">
      <c r="A218" s="16">
        <v>207</v>
      </c>
      <c r="B218" s="3">
        <v>7</v>
      </c>
      <c r="C218" s="4" t="s">
        <v>227</v>
      </c>
      <c r="D218" s="9" t="s">
        <v>441</v>
      </c>
      <c r="E218" s="5" t="s">
        <v>221</v>
      </c>
      <c r="F218" s="6">
        <v>1063</v>
      </c>
      <c r="G218" s="6">
        <v>568</v>
      </c>
      <c r="H218" s="6">
        <v>495</v>
      </c>
      <c r="I218" s="17">
        <f t="shared" si="6"/>
        <v>871.47887323943667</v>
      </c>
      <c r="J218" s="15">
        <f t="shared" si="7"/>
        <v>2</v>
      </c>
    </row>
    <row r="219" spans="1:10">
      <c r="A219" s="16">
        <v>208</v>
      </c>
      <c r="B219" s="3">
        <v>8</v>
      </c>
      <c r="C219" s="4" t="s">
        <v>228</v>
      </c>
      <c r="D219" s="9" t="s">
        <v>441</v>
      </c>
      <c r="E219" s="5" t="s">
        <v>221</v>
      </c>
      <c r="F219" s="6">
        <v>1260</v>
      </c>
      <c r="G219" s="6">
        <v>671</v>
      </c>
      <c r="H219" s="6">
        <v>589</v>
      </c>
      <c r="I219" s="17">
        <f t="shared" si="6"/>
        <v>877.79433681073021</v>
      </c>
      <c r="J219" s="15">
        <f t="shared" si="7"/>
        <v>2</v>
      </c>
    </row>
    <row r="220" spans="1:10">
      <c r="A220" s="16">
        <v>209</v>
      </c>
      <c r="B220" s="3">
        <v>9</v>
      </c>
      <c r="C220" s="4" t="s">
        <v>229</v>
      </c>
      <c r="D220" s="9" t="s">
        <v>441</v>
      </c>
      <c r="E220" s="5" t="s">
        <v>221</v>
      </c>
      <c r="F220" s="6">
        <v>2176</v>
      </c>
      <c r="G220" s="6">
        <v>1126</v>
      </c>
      <c r="H220" s="6">
        <v>1050</v>
      </c>
      <c r="I220" s="17">
        <f t="shared" si="6"/>
        <v>932.50444049733574</v>
      </c>
      <c r="J220" s="15">
        <f t="shared" si="7"/>
        <v>1</v>
      </c>
    </row>
    <row r="221" spans="1:10">
      <c r="A221" s="16">
        <v>210</v>
      </c>
      <c r="B221" s="3">
        <v>10</v>
      </c>
      <c r="C221" s="4" t="s">
        <v>230</v>
      </c>
      <c r="D221" s="9" t="s">
        <v>441</v>
      </c>
      <c r="E221" s="5" t="s">
        <v>221</v>
      </c>
      <c r="F221" s="6">
        <v>939</v>
      </c>
      <c r="G221" s="6">
        <v>470</v>
      </c>
      <c r="H221" s="6">
        <v>469</v>
      </c>
      <c r="I221" s="17">
        <f t="shared" si="6"/>
        <v>997.872340425532</v>
      </c>
      <c r="J221" s="15">
        <f t="shared" si="7"/>
        <v>1</v>
      </c>
    </row>
    <row r="222" spans="1:10">
      <c r="A222" s="16">
        <v>211</v>
      </c>
      <c r="B222" s="3">
        <v>11</v>
      </c>
      <c r="C222" s="4" t="s">
        <v>231</v>
      </c>
      <c r="D222" s="9" t="s">
        <v>441</v>
      </c>
      <c r="E222" s="5" t="s">
        <v>221</v>
      </c>
      <c r="F222" s="6">
        <v>1251</v>
      </c>
      <c r="G222" s="6">
        <v>649</v>
      </c>
      <c r="H222" s="6">
        <v>602</v>
      </c>
      <c r="I222" s="17">
        <f t="shared" si="6"/>
        <v>927.58089368258857</v>
      </c>
      <c r="J222" s="15">
        <f t="shared" si="7"/>
        <v>1</v>
      </c>
    </row>
    <row r="223" spans="1:10">
      <c r="A223" s="16">
        <v>212</v>
      </c>
      <c r="B223" s="3">
        <v>12</v>
      </c>
      <c r="C223" s="4" t="s">
        <v>232</v>
      </c>
      <c r="D223" s="9" t="s">
        <v>441</v>
      </c>
      <c r="E223" s="5" t="s">
        <v>221</v>
      </c>
      <c r="F223" s="6">
        <v>1500</v>
      </c>
      <c r="G223" s="6">
        <v>810</v>
      </c>
      <c r="H223" s="6">
        <v>690</v>
      </c>
      <c r="I223" s="17">
        <f t="shared" si="6"/>
        <v>851.85185185185185</v>
      </c>
      <c r="J223" s="15">
        <f t="shared" si="7"/>
        <v>2</v>
      </c>
    </row>
    <row r="224" spans="1:10">
      <c r="A224" s="16">
        <v>213</v>
      </c>
      <c r="B224" s="3">
        <v>13</v>
      </c>
      <c r="C224" s="4" t="s">
        <v>233</v>
      </c>
      <c r="D224" s="9" t="s">
        <v>441</v>
      </c>
      <c r="E224" s="5" t="s">
        <v>221</v>
      </c>
      <c r="F224" s="6">
        <v>1802</v>
      </c>
      <c r="G224" s="6">
        <v>968</v>
      </c>
      <c r="H224" s="6">
        <v>834</v>
      </c>
      <c r="I224" s="17">
        <f t="shared" si="6"/>
        <v>861.57024793388427</v>
      </c>
      <c r="J224" s="15">
        <f t="shared" si="7"/>
        <v>2</v>
      </c>
    </row>
    <row r="225" spans="1:10">
      <c r="A225" s="16">
        <v>214</v>
      </c>
      <c r="B225" s="3">
        <v>14</v>
      </c>
      <c r="C225" s="4" t="s">
        <v>234</v>
      </c>
      <c r="D225" s="9" t="s">
        <v>441</v>
      </c>
      <c r="E225" s="5" t="s">
        <v>221</v>
      </c>
      <c r="F225" s="6">
        <v>1090</v>
      </c>
      <c r="G225" s="6">
        <v>585</v>
      </c>
      <c r="H225" s="6">
        <v>505</v>
      </c>
      <c r="I225" s="17">
        <f t="shared" si="6"/>
        <v>863.24786324786328</v>
      </c>
      <c r="J225" s="15">
        <f t="shared" si="7"/>
        <v>2</v>
      </c>
    </row>
    <row r="226" spans="1:10">
      <c r="A226" s="16">
        <v>215</v>
      </c>
      <c r="B226" s="3">
        <v>15</v>
      </c>
      <c r="C226" s="4" t="s">
        <v>235</v>
      </c>
      <c r="D226" s="9" t="s">
        <v>441</v>
      </c>
      <c r="E226" s="5" t="s">
        <v>221</v>
      </c>
      <c r="F226" s="6">
        <v>964</v>
      </c>
      <c r="G226" s="6">
        <v>509</v>
      </c>
      <c r="H226" s="6">
        <v>455</v>
      </c>
      <c r="I226" s="17">
        <f t="shared" si="6"/>
        <v>893.90962671905697</v>
      </c>
      <c r="J226" s="15">
        <f t="shared" si="7"/>
        <v>2</v>
      </c>
    </row>
    <row r="227" spans="1:10">
      <c r="A227" s="16">
        <v>216</v>
      </c>
      <c r="B227" s="3">
        <v>16</v>
      </c>
      <c r="C227" s="4" t="s">
        <v>236</v>
      </c>
      <c r="D227" s="9" t="s">
        <v>441</v>
      </c>
      <c r="E227" s="5" t="s">
        <v>221</v>
      </c>
      <c r="F227" s="6">
        <v>392</v>
      </c>
      <c r="G227" s="6">
        <v>220</v>
      </c>
      <c r="H227" s="6">
        <v>172</v>
      </c>
      <c r="I227" s="17">
        <f t="shared" si="6"/>
        <v>781.81818181818187</v>
      </c>
      <c r="J227" s="15">
        <f t="shared" si="7"/>
        <v>3</v>
      </c>
    </row>
    <row r="228" spans="1:10">
      <c r="A228" s="16">
        <v>217</v>
      </c>
      <c r="B228" s="3">
        <v>17</v>
      </c>
      <c r="C228" s="4" t="s">
        <v>237</v>
      </c>
      <c r="D228" s="9" t="s">
        <v>441</v>
      </c>
      <c r="E228" s="5" t="s">
        <v>221</v>
      </c>
      <c r="F228" s="6">
        <v>1122</v>
      </c>
      <c r="G228" s="6">
        <v>590</v>
      </c>
      <c r="H228" s="6">
        <v>532</v>
      </c>
      <c r="I228" s="17">
        <f t="shared" si="6"/>
        <v>901.69491525423723</v>
      </c>
      <c r="J228" s="15">
        <f t="shared" si="7"/>
        <v>1</v>
      </c>
    </row>
    <row r="229" spans="1:10">
      <c r="A229" s="16">
        <v>218</v>
      </c>
      <c r="B229" s="3">
        <v>18</v>
      </c>
      <c r="C229" s="4" t="s">
        <v>238</v>
      </c>
      <c r="D229" s="9" t="s">
        <v>441</v>
      </c>
      <c r="E229" s="5" t="s">
        <v>221</v>
      </c>
      <c r="F229" s="6">
        <v>431</v>
      </c>
      <c r="G229" s="6">
        <v>218</v>
      </c>
      <c r="H229" s="6">
        <v>213</v>
      </c>
      <c r="I229" s="17">
        <f t="shared" si="6"/>
        <v>977.06422018348621</v>
      </c>
      <c r="J229" s="15">
        <f t="shared" si="7"/>
        <v>1</v>
      </c>
    </row>
    <row r="230" spans="1:10">
      <c r="A230" s="16">
        <v>219</v>
      </c>
      <c r="B230" s="3">
        <v>19</v>
      </c>
      <c r="C230" s="4" t="s">
        <v>239</v>
      </c>
      <c r="D230" s="9" t="s">
        <v>441</v>
      </c>
      <c r="E230" s="5" t="s">
        <v>221</v>
      </c>
      <c r="F230" s="6">
        <v>1625</v>
      </c>
      <c r="G230" s="6">
        <v>862</v>
      </c>
      <c r="H230" s="6">
        <v>763</v>
      </c>
      <c r="I230" s="17">
        <f t="shared" si="6"/>
        <v>885.15081206496518</v>
      </c>
      <c r="J230" s="15">
        <f t="shared" si="7"/>
        <v>2</v>
      </c>
    </row>
    <row r="231" spans="1:10">
      <c r="A231" s="16">
        <v>220</v>
      </c>
      <c r="B231" s="3">
        <v>20</v>
      </c>
      <c r="C231" s="4" t="s">
        <v>240</v>
      </c>
      <c r="D231" s="9" t="s">
        <v>441</v>
      </c>
      <c r="E231" s="5" t="s">
        <v>221</v>
      </c>
      <c r="F231" s="6">
        <v>1445</v>
      </c>
      <c r="G231" s="6">
        <v>725</v>
      </c>
      <c r="H231" s="6">
        <v>720</v>
      </c>
      <c r="I231" s="17">
        <f t="shared" si="6"/>
        <v>993.10344827586209</v>
      </c>
      <c r="J231" s="15">
        <f t="shared" si="7"/>
        <v>1</v>
      </c>
    </row>
    <row r="232" spans="1:10">
      <c r="A232" s="16">
        <v>221</v>
      </c>
      <c r="B232" s="3">
        <v>21</v>
      </c>
      <c r="C232" s="4" t="s">
        <v>241</v>
      </c>
      <c r="D232" s="9" t="s">
        <v>441</v>
      </c>
      <c r="E232" s="5" t="s">
        <v>221</v>
      </c>
      <c r="F232" s="6">
        <v>1543</v>
      </c>
      <c r="G232" s="6">
        <v>802</v>
      </c>
      <c r="H232" s="6">
        <v>741</v>
      </c>
      <c r="I232" s="17">
        <f t="shared" si="6"/>
        <v>923.94014962593519</v>
      </c>
      <c r="J232" s="15">
        <f t="shared" si="7"/>
        <v>1</v>
      </c>
    </row>
    <row r="233" spans="1:10">
      <c r="A233" s="16">
        <v>222</v>
      </c>
      <c r="B233" s="3">
        <v>22</v>
      </c>
      <c r="C233" s="4" t="s">
        <v>242</v>
      </c>
      <c r="D233" s="9" t="s">
        <v>441</v>
      </c>
      <c r="E233" s="5" t="s">
        <v>221</v>
      </c>
      <c r="F233" s="6">
        <v>994</v>
      </c>
      <c r="G233" s="6">
        <v>510</v>
      </c>
      <c r="H233" s="6">
        <v>484</v>
      </c>
      <c r="I233" s="17">
        <f t="shared" si="6"/>
        <v>949.01960784313724</v>
      </c>
      <c r="J233" s="15">
        <f t="shared" si="7"/>
        <v>1</v>
      </c>
    </row>
    <row r="234" spans="1:10">
      <c r="A234" s="16">
        <v>223</v>
      </c>
      <c r="B234" s="3">
        <v>23</v>
      </c>
      <c r="C234" s="4" t="s">
        <v>243</v>
      </c>
      <c r="D234" s="9" t="s">
        <v>441</v>
      </c>
      <c r="E234" s="5" t="s">
        <v>221</v>
      </c>
      <c r="F234" s="6">
        <v>1875</v>
      </c>
      <c r="G234" s="6">
        <v>1008</v>
      </c>
      <c r="H234" s="6">
        <v>867</v>
      </c>
      <c r="I234" s="17">
        <f t="shared" si="6"/>
        <v>860.11904761904771</v>
      </c>
      <c r="J234" s="15">
        <f t="shared" si="7"/>
        <v>2</v>
      </c>
    </row>
    <row r="235" spans="1:10">
      <c r="A235" s="16">
        <v>224</v>
      </c>
      <c r="B235" s="3">
        <v>24</v>
      </c>
      <c r="C235" s="4" t="s">
        <v>244</v>
      </c>
      <c r="D235" s="9" t="s">
        <v>441</v>
      </c>
      <c r="E235" s="5" t="s">
        <v>221</v>
      </c>
      <c r="F235" s="6">
        <v>976</v>
      </c>
      <c r="G235" s="6">
        <v>497</v>
      </c>
      <c r="H235" s="6">
        <v>479</v>
      </c>
      <c r="I235" s="17">
        <f t="shared" si="6"/>
        <v>963.78269617706235</v>
      </c>
      <c r="J235" s="15">
        <f t="shared" si="7"/>
        <v>1</v>
      </c>
    </row>
    <row r="236" spans="1:10">
      <c r="A236" s="16">
        <v>225</v>
      </c>
      <c r="B236" s="3">
        <v>25</v>
      </c>
      <c r="C236" s="4" t="s">
        <v>245</v>
      </c>
      <c r="D236" s="9" t="s">
        <v>441</v>
      </c>
      <c r="E236" s="5" t="s">
        <v>221</v>
      </c>
      <c r="F236" s="6">
        <v>100</v>
      </c>
      <c r="G236" s="6">
        <v>51</v>
      </c>
      <c r="H236" s="6">
        <v>49</v>
      </c>
      <c r="I236" s="17">
        <f t="shared" si="6"/>
        <v>960.78431372549028</v>
      </c>
      <c r="J236" s="15">
        <f t="shared" si="7"/>
        <v>1</v>
      </c>
    </row>
    <row r="237" spans="1:10">
      <c r="A237" s="16">
        <v>226</v>
      </c>
      <c r="B237" s="3">
        <v>26</v>
      </c>
      <c r="C237" s="4" t="s">
        <v>246</v>
      </c>
      <c r="D237" s="9" t="s">
        <v>441</v>
      </c>
      <c r="E237" s="5" t="s">
        <v>221</v>
      </c>
      <c r="F237" s="6">
        <v>1066</v>
      </c>
      <c r="G237" s="6">
        <v>551</v>
      </c>
      <c r="H237" s="6">
        <v>515</v>
      </c>
      <c r="I237" s="17">
        <f t="shared" si="6"/>
        <v>934.66424682395643</v>
      </c>
      <c r="J237" s="15">
        <f t="shared" si="7"/>
        <v>1</v>
      </c>
    </row>
    <row r="238" spans="1:10">
      <c r="A238" s="16">
        <v>227</v>
      </c>
      <c r="B238" s="3">
        <v>27</v>
      </c>
      <c r="C238" s="4" t="s">
        <v>247</v>
      </c>
      <c r="D238" s="9" t="s">
        <v>441</v>
      </c>
      <c r="E238" s="5" t="s">
        <v>221</v>
      </c>
      <c r="F238" s="6">
        <v>1069</v>
      </c>
      <c r="G238" s="6">
        <v>570</v>
      </c>
      <c r="H238" s="6">
        <v>499</v>
      </c>
      <c r="I238" s="17">
        <f t="shared" si="6"/>
        <v>875.43859649122805</v>
      </c>
      <c r="J238" s="15">
        <f t="shared" si="7"/>
        <v>2</v>
      </c>
    </row>
    <row r="239" spans="1:10">
      <c r="A239" s="16">
        <v>228</v>
      </c>
      <c r="B239" s="3">
        <v>28</v>
      </c>
      <c r="C239" s="4" t="s">
        <v>248</v>
      </c>
      <c r="D239" s="9" t="s">
        <v>441</v>
      </c>
      <c r="E239" s="5" t="s">
        <v>221</v>
      </c>
      <c r="F239" s="6">
        <v>441</v>
      </c>
      <c r="G239" s="6">
        <v>240</v>
      </c>
      <c r="H239" s="6">
        <v>201</v>
      </c>
      <c r="I239" s="17">
        <f t="shared" si="6"/>
        <v>837.5</v>
      </c>
      <c r="J239" s="15">
        <f t="shared" si="7"/>
        <v>2</v>
      </c>
    </row>
    <row r="240" spans="1:10">
      <c r="A240" s="16">
        <v>229</v>
      </c>
      <c r="B240" s="3">
        <v>29</v>
      </c>
      <c r="C240" s="4" t="s">
        <v>249</v>
      </c>
      <c r="D240" s="9" t="s">
        <v>441</v>
      </c>
      <c r="E240" s="5" t="s">
        <v>221</v>
      </c>
      <c r="F240" s="6">
        <v>1463</v>
      </c>
      <c r="G240" s="6">
        <v>747</v>
      </c>
      <c r="H240" s="6">
        <v>716</v>
      </c>
      <c r="I240" s="17">
        <f t="shared" si="6"/>
        <v>958.50066934404288</v>
      </c>
      <c r="J240" s="15">
        <f t="shared" si="7"/>
        <v>1</v>
      </c>
    </row>
    <row r="241" spans="1:10">
      <c r="A241" s="16">
        <v>230</v>
      </c>
      <c r="B241" s="3">
        <v>30</v>
      </c>
      <c r="C241" s="4" t="s">
        <v>250</v>
      </c>
      <c r="D241" s="9" t="s">
        <v>441</v>
      </c>
      <c r="E241" s="5" t="s">
        <v>221</v>
      </c>
      <c r="F241" s="6">
        <v>914</v>
      </c>
      <c r="G241" s="6">
        <v>450</v>
      </c>
      <c r="H241" s="6">
        <v>464</v>
      </c>
      <c r="I241" s="17">
        <f t="shared" si="6"/>
        <v>1031.1111111111111</v>
      </c>
      <c r="J241" s="15">
        <f t="shared" si="7"/>
        <v>1</v>
      </c>
    </row>
    <row r="242" spans="1:10">
      <c r="A242" s="16">
        <v>231</v>
      </c>
      <c r="B242" s="3">
        <v>31</v>
      </c>
      <c r="C242" s="4" t="s">
        <v>251</v>
      </c>
      <c r="D242" s="9" t="s">
        <v>441</v>
      </c>
      <c r="E242" s="5" t="s">
        <v>221</v>
      </c>
      <c r="F242" s="6">
        <v>460</v>
      </c>
      <c r="G242" s="6">
        <v>253</v>
      </c>
      <c r="H242" s="6">
        <v>207</v>
      </c>
      <c r="I242" s="17">
        <f t="shared" si="6"/>
        <v>818.18181818181824</v>
      </c>
      <c r="J242" s="15">
        <f t="shared" si="7"/>
        <v>2</v>
      </c>
    </row>
    <row r="243" spans="1:10">
      <c r="A243" s="16">
        <v>232</v>
      </c>
      <c r="B243" s="3">
        <v>32</v>
      </c>
      <c r="C243" s="4" t="s">
        <v>252</v>
      </c>
      <c r="D243" s="9" t="s">
        <v>441</v>
      </c>
      <c r="E243" s="5" t="s">
        <v>221</v>
      </c>
      <c r="F243" s="6">
        <v>578</v>
      </c>
      <c r="G243" s="6">
        <v>301</v>
      </c>
      <c r="H243" s="6">
        <v>277</v>
      </c>
      <c r="I243" s="17">
        <f t="shared" si="6"/>
        <v>920.26578073089706</v>
      </c>
      <c r="J243" s="15">
        <f t="shared" si="7"/>
        <v>1</v>
      </c>
    </row>
    <row r="244" spans="1:10">
      <c r="A244" s="16">
        <v>233</v>
      </c>
      <c r="B244" s="3">
        <v>33</v>
      </c>
      <c r="C244" s="4" t="s">
        <v>253</v>
      </c>
      <c r="D244" s="9" t="s">
        <v>441</v>
      </c>
      <c r="E244" s="5" t="s">
        <v>221</v>
      </c>
      <c r="F244" s="6">
        <v>2727</v>
      </c>
      <c r="G244" s="6">
        <v>1452</v>
      </c>
      <c r="H244" s="6">
        <v>1275</v>
      </c>
      <c r="I244" s="17">
        <f t="shared" si="6"/>
        <v>878.09917355371897</v>
      </c>
      <c r="J244" s="15">
        <f t="shared" si="7"/>
        <v>2</v>
      </c>
    </row>
    <row r="245" spans="1:10">
      <c r="A245" s="16">
        <v>234</v>
      </c>
      <c r="B245" s="3">
        <v>34</v>
      </c>
      <c r="C245" s="4" t="s">
        <v>254</v>
      </c>
      <c r="D245" s="9" t="s">
        <v>441</v>
      </c>
      <c r="E245" s="5" t="s">
        <v>221</v>
      </c>
      <c r="F245" s="6">
        <v>1268</v>
      </c>
      <c r="G245" s="6">
        <v>675</v>
      </c>
      <c r="H245" s="6">
        <v>593</v>
      </c>
      <c r="I245" s="17">
        <f t="shared" si="6"/>
        <v>878.51851851851848</v>
      </c>
      <c r="J245" s="15">
        <f t="shared" si="7"/>
        <v>2</v>
      </c>
    </row>
    <row r="246" spans="1:10">
      <c r="A246" s="16">
        <v>235</v>
      </c>
      <c r="B246" s="3">
        <v>35</v>
      </c>
      <c r="C246" s="4" t="s">
        <v>255</v>
      </c>
      <c r="D246" s="9" t="s">
        <v>441</v>
      </c>
      <c r="E246" s="5" t="s">
        <v>221</v>
      </c>
      <c r="F246" s="6">
        <v>885</v>
      </c>
      <c r="G246" s="6">
        <v>452</v>
      </c>
      <c r="H246" s="6">
        <v>433</v>
      </c>
      <c r="I246" s="17">
        <f t="shared" si="6"/>
        <v>957.9646017699115</v>
      </c>
      <c r="J246" s="15">
        <f t="shared" si="7"/>
        <v>1</v>
      </c>
    </row>
    <row r="247" spans="1:10">
      <c r="A247" s="16">
        <v>236</v>
      </c>
      <c r="B247" s="3">
        <v>36</v>
      </c>
      <c r="C247" s="4" t="s">
        <v>256</v>
      </c>
      <c r="D247" s="9" t="s">
        <v>441</v>
      </c>
      <c r="E247" s="5" t="s">
        <v>221</v>
      </c>
      <c r="F247" s="6">
        <v>921</v>
      </c>
      <c r="G247" s="6">
        <v>470</v>
      </c>
      <c r="H247" s="6">
        <v>451</v>
      </c>
      <c r="I247" s="17">
        <f t="shared" si="6"/>
        <v>959.57446808510633</v>
      </c>
      <c r="J247" s="15">
        <f t="shared" si="7"/>
        <v>1</v>
      </c>
    </row>
    <row r="248" spans="1:10">
      <c r="A248" s="16">
        <v>237</v>
      </c>
      <c r="B248" s="3">
        <v>37</v>
      </c>
      <c r="C248" s="4" t="s">
        <v>257</v>
      </c>
      <c r="D248" s="9" t="s">
        <v>441</v>
      </c>
      <c r="E248" s="5" t="s">
        <v>221</v>
      </c>
      <c r="F248" s="6">
        <v>1086</v>
      </c>
      <c r="G248" s="6">
        <v>548</v>
      </c>
      <c r="H248" s="6">
        <v>538</v>
      </c>
      <c r="I248" s="17">
        <f t="shared" si="6"/>
        <v>981.75182481751824</v>
      </c>
      <c r="J248" s="15">
        <f t="shared" si="7"/>
        <v>1</v>
      </c>
    </row>
    <row r="249" spans="1:10">
      <c r="A249" s="16">
        <v>238</v>
      </c>
      <c r="B249" s="3">
        <v>38</v>
      </c>
      <c r="C249" s="4" t="s">
        <v>258</v>
      </c>
      <c r="D249" s="9" t="s">
        <v>441</v>
      </c>
      <c r="E249" s="5" t="s">
        <v>221</v>
      </c>
      <c r="F249" s="6">
        <v>504</v>
      </c>
      <c r="G249" s="6">
        <v>278</v>
      </c>
      <c r="H249" s="6">
        <v>226</v>
      </c>
      <c r="I249" s="17">
        <f t="shared" si="6"/>
        <v>812.94964028776985</v>
      </c>
      <c r="J249" s="15">
        <f t="shared" si="7"/>
        <v>2</v>
      </c>
    </row>
    <row r="250" spans="1:10">
      <c r="A250" s="16">
        <v>239</v>
      </c>
      <c r="B250" s="3">
        <v>39</v>
      </c>
      <c r="C250" s="4" t="s">
        <v>259</v>
      </c>
      <c r="D250" s="9" t="s">
        <v>441</v>
      </c>
      <c r="E250" s="5" t="s">
        <v>221</v>
      </c>
      <c r="F250" s="6">
        <v>283</v>
      </c>
      <c r="G250" s="6">
        <v>158</v>
      </c>
      <c r="H250" s="6">
        <v>125</v>
      </c>
      <c r="I250" s="17">
        <f t="shared" si="6"/>
        <v>791.13924050632909</v>
      </c>
      <c r="J250" s="15">
        <f t="shared" si="7"/>
        <v>3</v>
      </c>
    </row>
    <row r="251" spans="1:10">
      <c r="A251" s="16">
        <v>240</v>
      </c>
      <c r="B251" s="3">
        <v>40</v>
      </c>
      <c r="C251" s="4" t="s">
        <v>260</v>
      </c>
      <c r="D251" s="9" t="s">
        <v>441</v>
      </c>
      <c r="E251" s="5" t="s">
        <v>221</v>
      </c>
      <c r="F251" s="6">
        <v>844</v>
      </c>
      <c r="G251" s="6">
        <v>444</v>
      </c>
      <c r="H251" s="6">
        <v>400</v>
      </c>
      <c r="I251" s="17">
        <f t="shared" si="6"/>
        <v>900.90090090090087</v>
      </c>
      <c r="J251" s="15">
        <f t="shared" si="7"/>
        <v>1</v>
      </c>
    </row>
    <row r="252" spans="1:10">
      <c r="A252" s="16">
        <v>241</v>
      </c>
      <c r="B252" s="3">
        <v>41</v>
      </c>
      <c r="C252" s="4" t="s">
        <v>261</v>
      </c>
      <c r="D252" s="9" t="s">
        <v>441</v>
      </c>
      <c r="E252" s="5" t="s">
        <v>221</v>
      </c>
      <c r="F252" s="6">
        <v>3069</v>
      </c>
      <c r="G252" s="6">
        <v>1600</v>
      </c>
      <c r="H252" s="6">
        <v>1469</v>
      </c>
      <c r="I252" s="17">
        <f t="shared" si="6"/>
        <v>918.125</v>
      </c>
      <c r="J252" s="15">
        <f t="shared" si="7"/>
        <v>1</v>
      </c>
    </row>
    <row r="253" spans="1:10">
      <c r="A253" s="16">
        <v>242</v>
      </c>
      <c r="B253" s="3">
        <v>42</v>
      </c>
      <c r="C253" s="4" t="s">
        <v>262</v>
      </c>
      <c r="D253" s="9" t="s">
        <v>441</v>
      </c>
      <c r="E253" s="5" t="s">
        <v>221</v>
      </c>
      <c r="F253" s="6">
        <v>808</v>
      </c>
      <c r="G253" s="6">
        <v>413</v>
      </c>
      <c r="H253" s="6">
        <v>395</v>
      </c>
      <c r="I253" s="17">
        <f t="shared" si="6"/>
        <v>956.41646489104119</v>
      </c>
      <c r="J253" s="15">
        <f t="shared" si="7"/>
        <v>1</v>
      </c>
    </row>
    <row r="254" spans="1:10">
      <c r="A254" s="16">
        <v>243</v>
      </c>
      <c r="B254" s="3">
        <v>43</v>
      </c>
      <c r="C254" s="4" t="s">
        <v>263</v>
      </c>
      <c r="D254" s="9" t="s">
        <v>441</v>
      </c>
      <c r="E254" s="5" t="s">
        <v>221</v>
      </c>
      <c r="F254" s="6">
        <v>365</v>
      </c>
      <c r="G254" s="6">
        <v>197</v>
      </c>
      <c r="H254" s="6">
        <v>168</v>
      </c>
      <c r="I254" s="17">
        <f t="shared" si="6"/>
        <v>852.79187817258878</v>
      </c>
      <c r="J254" s="15">
        <f t="shared" si="7"/>
        <v>2</v>
      </c>
    </row>
    <row r="255" spans="1:10">
      <c r="A255" s="16">
        <v>244</v>
      </c>
      <c r="B255" s="3">
        <v>44</v>
      </c>
      <c r="C255" s="4" t="s">
        <v>264</v>
      </c>
      <c r="D255" s="9" t="s">
        <v>441</v>
      </c>
      <c r="E255" s="5" t="s">
        <v>221</v>
      </c>
      <c r="F255" s="6">
        <v>2618</v>
      </c>
      <c r="G255" s="6">
        <v>1398</v>
      </c>
      <c r="H255" s="6">
        <v>1220</v>
      </c>
      <c r="I255" s="17">
        <f t="shared" si="6"/>
        <v>872.67525035765379</v>
      </c>
      <c r="J255" s="15">
        <f t="shared" si="7"/>
        <v>2</v>
      </c>
    </row>
    <row r="256" spans="1:10">
      <c r="A256" s="16">
        <v>245</v>
      </c>
      <c r="B256" s="3">
        <v>45</v>
      </c>
      <c r="C256" s="4" t="s">
        <v>265</v>
      </c>
      <c r="D256" s="9" t="s">
        <v>441</v>
      </c>
      <c r="E256" s="5" t="s">
        <v>221</v>
      </c>
      <c r="F256" s="6">
        <v>298</v>
      </c>
      <c r="G256" s="6">
        <v>155</v>
      </c>
      <c r="H256" s="6">
        <v>143</v>
      </c>
      <c r="I256" s="17">
        <f t="shared" si="6"/>
        <v>922.58064516129036</v>
      </c>
      <c r="J256" s="15">
        <f t="shared" si="7"/>
        <v>1</v>
      </c>
    </row>
    <row r="257" spans="1:10">
      <c r="A257" s="16">
        <v>246</v>
      </c>
      <c r="B257" s="3">
        <v>46</v>
      </c>
      <c r="C257" s="4" t="s">
        <v>266</v>
      </c>
      <c r="D257" s="9" t="s">
        <v>441</v>
      </c>
      <c r="E257" s="5" t="s">
        <v>221</v>
      </c>
      <c r="F257" s="6">
        <v>188</v>
      </c>
      <c r="G257" s="6">
        <v>106</v>
      </c>
      <c r="H257" s="6">
        <v>82</v>
      </c>
      <c r="I257" s="17">
        <f t="shared" si="6"/>
        <v>773.58490566037744</v>
      </c>
      <c r="J257" s="15">
        <f t="shared" si="7"/>
        <v>3</v>
      </c>
    </row>
    <row r="258" spans="1:10">
      <c r="A258" s="16">
        <v>247</v>
      </c>
      <c r="B258" s="3">
        <v>47</v>
      </c>
      <c r="C258" s="4" t="s">
        <v>267</v>
      </c>
      <c r="D258" s="9" t="s">
        <v>441</v>
      </c>
      <c r="E258" s="5" t="s">
        <v>221</v>
      </c>
      <c r="F258" s="6">
        <v>1260</v>
      </c>
      <c r="G258" s="6">
        <v>645</v>
      </c>
      <c r="H258" s="6">
        <v>615</v>
      </c>
      <c r="I258" s="17">
        <f t="shared" si="6"/>
        <v>953.48837209302326</v>
      </c>
      <c r="J258" s="15">
        <f t="shared" si="7"/>
        <v>1</v>
      </c>
    </row>
    <row r="259" spans="1:10">
      <c r="A259" s="16">
        <v>248</v>
      </c>
      <c r="B259" s="3">
        <v>48</v>
      </c>
      <c r="C259" s="4" t="s">
        <v>268</v>
      </c>
      <c r="D259" s="9" t="s">
        <v>441</v>
      </c>
      <c r="E259" s="5" t="s">
        <v>221</v>
      </c>
      <c r="F259" s="6">
        <v>1396</v>
      </c>
      <c r="G259" s="6">
        <v>737</v>
      </c>
      <c r="H259" s="6">
        <v>659</v>
      </c>
      <c r="I259" s="17">
        <f t="shared" si="6"/>
        <v>894.16553595658081</v>
      </c>
      <c r="J259" s="15">
        <f t="shared" si="7"/>
        <v>2</v>
      </c>
    </row>
    <row r="260" spans="1:10">
      <c r="A260" s="16">
        <v>249</v>
      </c>
      <c r="B260" s="3">
        <v>49</v>
      </c>
      <c r="C260" s="4" t="s">
        <v>269</v>
      </c>
      <c r="D260" s="9" t="s">
        <v>441</v>
      </c>
      <c r="E260" s="5" t="s">
        <v>221</v>
      </c>
      <c r="F260" s="6">
        <v>874</v>
      </c>
      <c r="G260" s="6">
        <v>471</v>
      </c>
      <c r="H260" s="6">
        <v>403</v>
      </c>
      <c r="I260" s="17">
        <f t="shared" si="6"/>
        <v>855.62632696390665</v>
      </c>
      <c r="J260" s="15">
        <f t="shared" si="7"/>
        <v>2</v>
      </c>
    </row>
    <row r="261" spans="1:10">
      <c r="A261" s="16">
        <v>250</v>
      </c>
      <c r="B261" s="3">
        <v>1</v>
      </c>
      <c r="C261" s="4" t="s">
        <v>270</v>
      </c>
      <c r="D261" s="9" t="s">
        <v>441</v>
      </c>
      <c r="E261" s="5" t="s">
        <v>271</v>
      </c>
      <c r="F261" s="6">
        <v>2470</v>
      </c>
      <c r="G261" s="6">
        <v>1256</v>
      </c>
      <c r="H261" s="6">
        <v>1214</v>
      </c>
      <c r="I261" s="17">
        <f t="shared" si="6"/>
        <v>966.56050955414003</v>
      </c>
      <c r="J261" s="15">
        <f t="shared" si="7"/>
        <v>1</v>
      </c>
    </row>
    <row r="262" spans="1:10">
      <c r="A262" s="16">
        <v>251</v>
      </c>
      <c r="B262" s="3">
        <v>2</v>
      </c>
      <c r="C262" s="4" t="s">
        <v>272</v>
      </c>
      <c r="D262" s="9" t="s">
        <v>441</v>
      </c>
      <c r="E262" s="5" t="s">
        <v>271</v>
      </c>
      <c r="F262" s="6">
        <v>3934</v>
      </c>
      <c r="G262" s="6">
        <v>2078</v>
      </c>
      <c r="H262" s="6">
        <v>1856</v>
      </c>
      <c r="I262" s="17">
        <f t="shared" si="6"/>
        <v>893.1665062560154</v>
      </c>
      <c r="J262" s="15">
        <f t="shared" si="7"/>
        <v>2</v>
      </c>
    </row>
    <row r="263" spans="1:10">
      <c r="A263" s="16">
        <v>252</v>
      </c>
      <c r="B263" s="3">
        <v>3</v>
      </c>
      <c r="C263" s="4" t="s">
        <v>273</v>
      </c>
      <c r="D263" s="9" t="s">
        <v>441</v>
      </c>
      <c r="E263" s="5" t="s">
        <v>271</v>
      </c>
      <c r="F263" s="6">
        <v>595</v>
      </c>
      <c r="G263" s="6">
        <v>286</v>
      </c>
      <c r="H263" s="6">
        <v>309</v>
      </c>
      <c r="I263" s="17">
        <f t="shared" si="6"/>
        <v>1080.4195804195804</v>
      </c>
      <c r="J263" s="15">
        <f t="shared" si="7"/>
        <v>1</v>
      </c>
    </row>
    <row r="264" spans="1:10">
      <c r="A264" s="16">
        <v>253</v>
      </c>
      <c r="B264" s="3">
        <v>4</v>
      </c>
      <c r="C264" s="4" t="s">
        <v>274</v>
      </c>
      <c r="D264" s="9" t="s">
        <v>441</v>
      </c>
      <c r="E264" s="5" t="s">
        <v>271</v>
      </c>
      <c r="F264" s="6">
        <v>2464</v>
      </c>
      <c r="G264" s="6">
        <v>1298</v>
      </c>
      <c r="H264" s="6">
        <v>1166</v>
      </c>
      <c r="I264" s="17">
        <f t="shared" si="6"/>
        <v>898.30508474576277</v>
      </c>
      <c r="J264" s="15">
        <f t="shared" si="7"/>
        <v>2</v>
      </c>
    </row>
    <row r="265" spans="1:10">
      <c r="A265" s="16">
        <v>254</v>
      </c>
      <c r="B265" s="3">
        <v>5</v>
      </c>
      <c r="C265" s="4" t="s">
        <v>275</v>
      </c>
      <c r="D265" s="9" t="s">
        <v>441</v>
      </c>
      <c r="E265" s="5" t="s">
        <v>271</v>
      </c>
      <c r="F265" s="6">
        <v>1902</v>
      </c>
      <c r="G265" s="6">
        <v>981</v>
      </c>
      <c r="H265" s="6">
        <v>921</v>
      </c>
      <c r="I265" s="17">
        <f t="shared" si="6"/>
        <v>938.83792048929661</v>
      </c>
      <c r="J265" s="15">
        <f t="shared" si="7"/>
        <v>1</v>
      </c>
    </row>
    <row r="266" spans="1:10">
      <c r="A266" s="16">
        <v>255</v>
      </c>
      <c r="B266" s="3">
        <v>6</v>
      </c>
      <c r="C266" s="4" t="s">
        <v>276</v>
      </c>
      <c r="D266" s="9" t="s">
        <v>441</v>
      </c>
      <c r="E266" s="5" t="s">
        <v>271</v>
      </c>
      <c r="F266" s="6">
        <v>2289</v>
      </c>
      <c r="G266" s="6">
        <v>1234</v>
      </c>
      <c r="H266" s="6">
        <v>1055</v>
      </c>
      <c r="I266" s="17">
        <f t="shared" si="6"/>
        <v>854.94327390599676</v>
      </c>
      <c r="J266" s="15">
        <f t="shared" si="7"/>
        <v>2</v>
      </c>
    </row>
    <row r="267" spans="1:10">
      <c r="A267" s="16">
        <v>256</v>
      </c>
      <c r="B267" s="3">
        <v>7</v>
      </c>
      <c r="C267" s="4" t="s">
        <v>277</v>
      </c>
      <c r="D267" s="9" t="s">
        <v>441</v>
      </c>
      <c r="E267" s="5" t="s">
        <v>271</v>
      </c>
      <c r="F267" s="6">
        <v>5129</v>
      </c>
      <c r="G267" s="6">
        <v>2679</v>
      </c>
      <c r="H267" s="6">
        <v>2450</v>
      </c>
      <c r="I267" s="17">
        <f t="shared" si="6"/>
        <v>914.52034341172089</v>
      </c>
      <c r="J267" s="15">
        <f t="shared" si="7"/>
        <v>1</v>
      </c>
    </row>
    <row r="268" spans="1:10">
      <c r="A268" s="16">
        <v>257</v>
      </c>
      <c r="B268" s="3">
        <v>8</v>
      </c>
      <c r="C268" s="4" t="s">
        <v>278</v>
      </c>
      <c r="D268" s="9" t="s">
        <v>441</v>
      </c>
      <c r="E268" s="5" t="s">
        <v>271</v>
      </c>
      <c r="F268" s="6">
        <v>841</v>
      </c>
      <c r="G268" s="6">
        <v>452</v>
      </c>
      <c r="H268" s="6">
        <v>389</v>
      </c>
      <c r="I268" s="17">
        <f t="shared" ref="I268:I331" si="8">H268/G268*1000</f>
        <v>860.61946902654859</v>
      </c>
      <c r="J268" s="15">
        <f t="shared" si="7"/>
        <v>2</v>
      </c>
    </row>
    <row r="269" spans="1:10">
      <c r="A269" s="16">
        <v>258</v>
      </c>
      <c r="B269" s="3">
        <v>9</v>
      </c>
      <c r="C269" s="4" t="s">
        <v>279</v>
      </c>
      <c r="D269" s="9" t="s">
        <v>441</v>
      </c>
      <c r="E269" s="5" t="s">
        <v>271</v>
      </c>
      <c r="F269" s="6">
        <v>1046</v>
      </c>
      <c r="G269" s="6">
        <v>561</v>
      </c>
      <c r="H269" s="6">
        <v>485</v>
      </c>
      <c r="I269" s="17">
        <f t="shared" si="8"/>
        <v>864.52762923351156</v>
      </c>
      <c r="J269" s="15">
        <f t="shared" ref="J269:J332" si="9">IF($I269&gt;900,1,IF($I269&gt;800,2,IF($I269&gt;700,3,0)))</f>
        <v>2</v>
      </c>
    </row>
    <row r="270" spans="1:10">
      <c r="A270" s="16">
        <v>259</v>
      </c>
      <c r="B270" s="3">
        <v>10</v>
      </c>
      <c r="C270" s="4" t="s">
        <v>280</v>
      </c>
      <c r="D270" s="9" t="s">
        <v>441</v>
      </c>
      <c r="E270" s="5" t="s">
        <v>271</v>
      </c>
      <c r="F270" s="6">
        <v>3392</v>
      </c>
      <c r="G270" s="6">
        <v>1773</v>
      </c>
      <c r="H270" s="6">
        <v>1619</v>
      </c>
      <c r="I270" s="17">
        <f t="shared" si="8"/>
        <v>913.14156796390296</v>
      </c>
      <c r="J270" s="15">
        <f t="shared" si="9"/>
        <v>1</v>
      </c>
    </row>
    <row r="271" spans="1:10">
      <c r="A271" s="16">
        <v>260</v>
      </c>
      <c r="B271" s="3">
        <v>11</v>
      </c>
      <c r="C271" s="4" t="s">
        <v>281</v>
      </c>
      <c r="D271" s="9" t="s">
        <v>441</v>
      </c>
      <c r="E271" s="5" t="s">
        <v>271</v>
      </c>
      <c r="F271" s="6">
        <v>1649</v>
      </c>
      <c r="G271" s="6">
        <v>884</v>
      </c>
      <c r="H271" s="6">
        <v>765</v>
      </c>
      <c r="I271" s="17">
        <f t="shared" si="8"/>
        <v>865.38461538461547</v>
      </c>
      <c r="J271" s="15">
        <f t="shared" si="9"/>
        <v>2</v>
      </c>
    </row>
    <row r="272" spans="1:10">
      <c r="A272" s="16">
        <v>261</v>
      </c>
      <c r="B272" s="3">
        <v>12</v>
      </c>
      <c r="C272" s="4" t="s">
        <v>282</v>
      </c>
      <c r="D272" s="9" t="s">
        <v>441</v>
      </c>
      <c r="E272" s="5" t="s">
        <v>271</v>
      </c>
      <c r="F272" s="6">
        <v>1037</v>
      </c>
      <c r="G272" s="6">
        <v>536</v>
      </c>
      <c r="H272" s="6">
        <v>501</v>
      </c>
      <c r="I272" s="17">
        <f t="shared" si="8"/>
        <v>934.70149253731336</v>
      </c>
      <c r="J272" s="15">
        <f t="shared" si="9"/>
        <v>1</v>
      </c>
    </row>
    <row r="273" spans="1:10">
      <c r="A273" s="16">
        <v>262</v>
      </c>
      <c r="B273" s="3">
        <v>13</v>
      </c>
      <c r="C273" s="4" t="s">
        <v>283</v>
      </c>
      <c r="D273" s="9" t="s">
        <v>441</v>
      </c>
      <c r="E273" s="5" t="s">
        <v>271</v>
      </c>
      <c r="F273" s="6">
        <v>1073</v>
      </c>
      <c r="G273" s="6">
        <v>552</v>
      </c>
      <c r="H273" s="6">
        <v>521</v>
      </c>
      <c r="I273" s="17">
        <f t="shared" si="8"/>
        <v>943.84057971014488</v>
      </c>
      <c r="J273" s="15">
        <f t="shared" si="9"/>
        <v>1</v>
      </c>
    </row>
    <row r="274" spans="1:10">
      <c r="A274" s="16">
        <v>263</v>
      </c>
      <c r="B274" s="3">
        <v>14</v>
      </c>
      <c r="C274" s="4" t="s">
        <v>284</v>
      </c>
      <c r="D274" s="9" t="s">
        <v>441</v>
      </c>
      <c r="E274" s="5" t="s">
        <v>271</v>
      </c>
      <c r="F274" s="6">
        <v>873</v>
      </c>
      <c r="G274" s="6">
        <v>463</v>
      </c>
      <c r="H274" s="6">
        <v>410</v>
      </c>
      <c r="I274" s="17">
        <f t="shared" si="8"/>
        <v>885.52915766738658</v>
      </c>
      <c r="J274" s="15">
        <f t="shared" si="9"/>
        <v>2</v>
      </c>
    </row>
    <row r="275" spans="1:10">
      <c r="A275" s="16">
        <v>264</v>
      </c>
      <c r="B275" s="3">
        <v>15</v>
      </c>
      <c r="C275" s="4" t="s">
        <v>285</v>
      </c>
      <c r="D275" s="9" t="s">
        <v>441</v>
      </c>
      <c r="E275" s="5" t="s">
        <v>271</v>
      </c>
      <c r="F275" s="6">
        <v>843</v>
      </c>
      <c r="G275" s="6">
        <v>451</v>
      </c>
      <c r="H275" s="6">
        <v>392</v>
      </c>
      <c r="I275" s="17">
        <f t="shared" si="8"/>
        <v>869.17960088691791</v>
      </c>
      <c r="J275" s="15">
        <f t="shared" si="9"/>
        <v>2</v>
      </c>
    </row>
    <row r="276" spans="1:10">
      <c r="A276" s="16">
        <v>265</v>
      </c>
      <c r="B276" s="3">
        <v>16</v>
      </c>
      <c r="C276" s="4" t="s">
        <v>286</v>
      </c>
      <c r="D276" s="9" t="s">
        <v>441</v>
      </c>
      <c r="E276" s="5" t="s">
        <v>271</v>
      </c>
      <c r="F276" s="6">
        <v>5520</v>
      </c>
      <c r="G276" s="6">
        <v>2859</v>
      </c>
      <c r="H276" s="6">
        <v>2661</v>
      </c>
      <c r="I276" s="17">
        <f t="shared" si="8"/>
        <v>930.7450157397692</v>
      </c>
      <c r="J276" s="15">
        <f t="shared" si="9"/>
        <v>1</v>
      </c>
    </row>
    <row r="277" spans="1:10">
      <c r="A277" s="16">
        <v>266</v>
      </c>
      <c r="B277" s="3">
        <v>17</v>
      </c>
      <c r="C277" s="8" t="s">
        <v>287</v>
      </c>
      <c r="D277" s="9" t="s">
        <v>441</v>
      </c>
      <c r="E277" s="5" t="s">
        <v>271</v>
      </c>
      <c r="F277" s="6">
        <v>0</v>
      </c>
      <c r="G277" s="6">
        <v>0</v>
      </c>
      <c r="H277" s="6">
        <v>0</v>
      </c>
      <c r="I277" s="17">
        <v>0</v>
      </c>
      <c r="J277" s="15">
        <f t="shared" si="9"/>
        <v>0</v>
      </c>
    </row>
    <row r="278" spans="1:10">
      <c r="A278" s="16">
        <v>267</v>
      </c>
      <c r="B278" s="3">
        <v>18</v>
      </c>
      <c r="C278" s="4" t="s">
        <v>288</v>
      </c>
      <c r="D278" s="9" t="s">
        <v>441</v>
      </c>
      <c r="E278" s="5" t="s">
        <v>271</v>
      </c>
      <c r="F278" s="6">
        <v>934</v>
      </c>
      <c r="G278" s="6">
        <v>506</v>
      </c>
      <c r="H278" s="6">
        <v>428</v>
      </c>
      <c r="I278" s="17">
        <f t="shared" si="8"/>
        <v>845.8498023715415</v>
      </c>
      <c r="J278" s="15">
        <f t="shared" si="9"/>
        <v>2</v>
      </c>
    </row>
    <row r="279" spans="1:10">
      <c r="A279" s="16">
        <v>268</v>
      </c>
      <c r="B279" s="3">
        <v>19</v>
      </c>
      <c r="C279" s="4" t="s">
        <v>289</v>
      </c>
      <c r="D279" s="9" t="s">
        <v>441</v>
      </c>
      <c r="E279" s="5" t="s">
        <v>271</v>
      </c>
      <c r="F279" s="6">
        <v>1227</v>
      </c>
      <c r="G279" s="6">
        <v>653</v>
      </c>
      <c r="H279" s="6">
        <v>574</v>
      </c>
      <c r="I279" s="17">
        <f t="shared" si="8"/>
        <v>879.01990811638586</v>
      </c>
      <c r="J279" s="15">
        <f t="shared" si="9"/>
        <v>2</v>
      </c>
    </row>
    <row r="280" spans="1:10">
      <c r="A280" s="16">
        <v>269</v>
      </c>
      <c r="B280" s="3">
        <v>20</v>
      </c>
      <c r="C280" s="4" t="s">
        <v>290</v>
      </c>
      <c r="D280" s="9" t="s">
        <v>441</v>
      </c>
      <c r="E280" s="5" t="s">
        <v>271</v>
      </c>
      <c r="F280" s="6">
        <v>1140</v>
      </c>
      <c r="G280" s="6">
        <v>594</v>
      </c>
      <c r="H280" s="6">
        <v>546</v>
      </c>
      <c r="I280" s="17">
        <f t="shared" si="8"/>
        <v>919.19191919191928</v>
      </c>
      <c r="J280" s="15">
        <f t="shared" si="9"/>
        <v>1</v>
      </c>
    </row>
    <row r="281" spans="1:10">
      <c r="A281" s="16">
        <v>270</v>
      </c>
      <c r="B281" s="3">
        <v>21</v>
      </c>
      <c r="C281" s="4" t="s">
        <v>291</v>
      </c>
      <c r="D281" s="9" t="s">
        <v>441</v>
      </c>
      <c r="E281" s="5" t="s">
        <v>271</v>
      </c>
      <c r="F281" s="6">
        <v>1743</v>
      </c>
      <c r="G281" s="6">
        <v>928</v>
      </c>
      <c r="H281" s="6">
        <v>815</v>
      </c>
      <c r="I281" s="17">
        <f t="shared" si="8"/>
        <v>878.23275862068965</v>
      </c>
      <c r="J281" s="15">
        <f t="shared" si="9"/>
        <v>2</v>
      </c>
    </row>
    <row r="282" spans="1:10">
      <c r="A282" s="16">
        <v>271</v>
      </c>
      <c r="B282" s="3">
        <v>22</v>
      </c>
      <c r="C282" s="4" t="s">
        <v>292</v>
      </c>
      <c r="D282" s="9" t="s">
        <v>441</v>
      </c>
      <c r="E282" s="5" t="s">
        <v>271</v>
      </c>
      <c r="F282" s="6">
        <v>8237</v>
      </c>
      <c r="G282" s="6">
        <v>4353</v>
      </c>
      <c r="H282" s="6">
        <v>3884</v>
      </c>
      <c r="I282" s="17">
        <f t="shared" si="8"/>
        <v>892.25821272685505</v>
      </c>
      <c r="J282" s="15">
        <f t="shared" si="9"/>
        <v>2</v>
      </c>
    </row>
    <row r="283" spans="1:10">
      <c r="A283" s="16">
        <v>272</v>
      </c>
      <c r="B283" s="3">
        <v>23</v>
      </c>
      <c r="C283" s="4" t="s">
        <v>293</v>
      </c>
      <c r="D283" s="9" t="s">
        <v>441</v>
      </c>
      <c r="E283" s="5" t="s">
        <v>271</v>
      </c>
      <c r="F283" s="6">
        <v>850</v>
      </c>
      <c r="G283" s="6">
        <v>443</v>
      </c>
      <c r="H283" s="6">
        <v>407</v>
      </c>
      <c r="I283" s="17">
        <f t="shared" si="8"/>
        <v>918.73589164785551</v>
      </c>
      <c r="J283" s="15">
        <f t="shared" si="9"/>
        <v>1</v>
      </c>
    </row>
    <row r="284" spans="1:10">
      <c r="A284" s="16">
        <v>273</v>
      </c>
      <c r="B284" s="3">
        <v>24</v>
      </c>
      <c r="C284" s="4" t="s">
        <v>294</v>
      </c>
      <c r="D284" s="9" t="s">
        <v>441</v>
      </c>
      <c r="E284" s="5" t="s">
        <v>271</v>
      </c>
      <c r="F284" s="6">
        <v>3689</v>
      </c>
      <c r="G284" s="6">
        <v>1924</v>
      </c>
      <c r="H284" s="6">
        <v>1765</v>
      </c>
      <c r="I284" s="17">
        <f t="shared" si="8"/>
        <v>917.35966735966736</v>
      </c>
      <c r="J284" s="15">
        <f t="shared" si="9"/>
        <v>1</v>
      </c>
    </row>
    <row r="285" spans="1:10">
      <c r="A285" s="16">
        <v>274</v>
      </c>
      <c r="B285" s="3">
        <v>25</v>
      </c>
      <c r="C285" s="4" t="s">
        <v>295</v>
      </c>
      <c r="D285" s="9" t="s">
        <v>441</v>
      </c>
      <c r="E285" s="5" t="s">
        <v>271</v>
      </c>
      <c r="F285" s="6">
        <v>1740</v>
      </c>
      <c r="G285" s="6">
        <v>910</v>
      </c>
      <c r="H285" s="6">
        <v>830</v>
      </c>
      <c r="I285" s="17">
        <f t="shared" si="8"/>
        <v>912.08791208791206</v>
      </c>
      <c r="J285" s="15">
        <f t="shared" si="9"/>
        <v>1</v>
      </c>
    </row>
    <row r="286" spans="1:10">
      <c r="A286" s="16">
        <v>275</v>
      </c>
      <c r="B286" s="3">
        <v>26</v>
      </c>
      <c r="C286" s="4" t="s">
        <v>296</v>
      </c>
      <c r="D286" s="9" t="s">
        <v>441</v>
      </c>
      <c r="E286" s="5" t="s">
        <v>271</v>
      </c>
      <c r="F286" s="6">
        <v>855</v>
      </c>
      <c r="G286" s="6">
        <v>453</v>
      </c>
      <c r="H286" s="6">
        <v>402</v>
      </c>
      <c r="I286" s="17">
        <f t="shared" si="8"/>
        <v>887.41721854304637</v>
      </c>
      <c r="J286" s="15">
        <f t="shared" si="9"/>
        <v>2</v>
      </c>
    </row>
    <row r="287" spans="1:10">
      <c r="A287" s="16">
        <v>276</v>
      </c>
      <c r="B287" s="3">
        <v>27</v>
      </c>
      <c r="C287" s="4" t="s">
        <v>297</v>
      </c>
      <c r="D287" s="9" t="s">
        <v>441</v>
      </c>
      <c r="E287" s="5" t="s">
        <v>271</v>
      </c>
      <c r="F287" s="6">
        <v>1686</v>
      </c>
      <c r="G287" s="6">
        <v>862</v>
      </c>
      <c r="H287" s="6">
        <v>824</v>
      </c>
      <c r="I287" s="17">
        <f t="shared" si="8"/>
        <v>955.91647331786544</v>
      </c>
      <c r="J287" s="15">
        <f t="shared" si="9"/>
        <v>1</v>
      </c>
    </row>
    <row r="288" spans="1:10">
      <c r="A288" s="16">
        <v>277</v>
      </c>
      <c r="B288" s="3">
        <v>28</v>
      </c>
      <c r="C288" s="4" t="s">
        <v>298</v>
      </c>
      <c r="D288" s="9" t="s">
        <v>441</v>
      </c>
      <c r="E288" s="5" t="s">
        <v>271</v>
      </c>
      <c r="F288" s="6">
        <v>1166</v>
      </c>
      <c r="G288" s="6">
        <v>649</v>
      </c>
      <c r="H288" s="6">
        <v>517</v>
      </c>
      <c r="I288" s="17">
        <f t="shared" si="8"/>
        <v>796.61016949152543</v>
      </c>
      <c r="J288" s="15">
        <f t="shared" si="9"/>
        <v>3</v>
      </c>
    </row>
    <row r="289" spans="1:10">
      <c r="A289" s="16">
        <v>278</v>
      </c>
      <c r="B289" s="3">
        <v>29</v>
      </c>
      <c r="C289" s="4" t="s">
        <v>299</v>
      </c>
      <c r="D289" s="9" t="s">
        <v>441</v>
      </c>
      <c r="E289" s="5" t="s">
        <v>271</v>
      </c>
      <c r="F289" s="6">
        <v>1910</v>
      </c>
      <c r="G289" s="6">
        <v>1007</v>
      </c>
      <c r="H289" s="6">
        <v>903</v>
      </c>
      <c r="I289" s="17">
        <f t="shared" si="8"/>
        <v>896.72293942403178</v>
      </c>
      <c r="J289" s="15">
        <f t="shared" si="9"/>
        <v>2</v>
      </c>
    </row>
    <row r="290" spans="1:10">
      <c r="A290" s="16">
        <v>279</v>
      </c>
      <c r="B290" s="3">
        <v>30</v>
      </c>
      <c r="C290" s="4" t="s">
        <v>300</v>
      </c>
      <c r="D290" s="9" t="s">
        <v>441</v>
      </c>
      <c r="E290" s="5" t="s">
        <v>271</v>
      </c>
      <c r="F290" s="6">
        <v>3501</v>
      </c>
      <c r="G290" s="6">
        <v>1761</v>
      </c>
      <c r="H290" s="6">
        <v>1740</v>
      </c>
      <c r="I290" s="17">
        <f t="shared" si="8"/>
        <v>988.07495741056221</v>
      </c>
      <c r="J290" s="15">
        <f t="shared" si="9"/>
        <v>1</v>
      </c>
    </row>
    <row r="291" spans="1:10">
      <c r="A291" s="16">
        <v>280</v>
      </c>
      <c r="B291" s="3">
        <v>31</v>
      </c>
      <c r="C291" s="4" t="s">
        <v>301</v>
      </c>
      <c r="D291" s="9" t="s">
        <v>441</v>
      </c>
      <c r="E291" s="5" t="s">
        <v>271</v>
      </c>
      <c r="F291" s="6">
        <v>2467</v>
      </c>
      <c r="G291" s="6">
        <v>1294</v>
      </c>
      <c r="H291" s="6">
        <v>1173</v>
      </c>
      <c r="I291" s="17">
        <f t="shared" si="8"/>
        <v>906.49149922720255</v>
      </c>
      <c r="J291" s="15">
        <f t="shared" si="9"/>
        <v>1</v>
      </c>
    </row>
    <row r="292" spans="1:10">
      <c r="A292" s="16">
        <v>281</v>
      </c>
      <c r="B292" s="3">
        <v>32</v>
      </c>
      <c r="C292" s="4" t="s">
        <v>302</v>
      </c>
      <c r="D292" s="9" t="s">
        <v>441</v>
      </c>
      <c r="E292" s="5" t="s">
        <v>271</v>
      </c>
      <c r="F292" s="6">
        <v>2199</v>
      </c>
      <c r="G292" s="6">
        <v>1162</v>
      </c>
      <c r="H292" s="6">
        <v>1037</v>
      </c>
      <c r="I292" s="17">
        <f t="shared" si="8"/>
        <v>892.42685025817559</v>
      </c>
      <c r="J292" s="15">
        <f t="shared" si="9"/>
        <v>2</v>
      </c>
    </row>
    <row r="293" spans="1:10">
      <c r="A293" s="16">
        <v>282</v>
      </c>
      <c r="B293" s="3">
        <v>33</v>
      </c>
      <c r="C293" s="4" t="s">
        <v>303</v>
      </c>
      <c r="D293" s="9" t="s">
        <v>441</v>
      </c>
      <c r="E293" s="5" t="s">
        <v>271</v>
      </c>
      <c r="F293" s="6">
        <v>2134</v>
      </c>
      <c r="G293" s="6">
        <v>1134</v>
      </c>
      <c r="H293" s="6">
        <v>1000</v>
      </c>
      <c r="I293" s="17">
        <f t="shared" si="8"/>
        <v>881.83421516754845</v>
      </c>
      <c r="J293" s="15">
        <f t="shared" si="9"/>
        <v>2</v>
      </c>
    </row>
    <row r="294" spans="1:10">
      <c r="A294" s="16">
        <v>283</v>
      </c>
      <c r="B294" s="3">
        <v>34</v>
      </c>
      <c r="C294" s="4" t="s">
        <v>304</v>
      </c>
      <c r="D294" s="9" t="s">
        <v>441</v>
      </c>
      <c r="E294" s="5" t="s">
        <v>271</v>
      </c>
      <c r="F294" s="6">
        <v>2115</v>
      </c>
      <c r="G294" s="6">
        <v>1097</v>
      </c>
      <c r="H294" s="6">
        <v>1018</v>
      </c>
      <c r="I294" s="17">
        <f t="shared" si="8"/>
        <v>927.98541476754781</v>
      </c>
      <c r="J294" s="15">
        <f t="shared" si="9"/>
        <v>1</v>
      </c>
    </row>
    <row r="295" spans="1:10">
      <c r="A295" s="16">
        <v>284</v>
      </c>
      <c r="B295" s="3">
        <v>35</v>
      </c>
      <c r="C295" s="4" t="s">
        <v>305</v>
      </c>
      <c r="D295" s="9" t="s">
        <v>441</v>
      </c>
      <c r="E295" s="5" t="s">
        <v>271</v>
      </c>
      <c r="F295" s="6">
        <v>1141</v>
      </c>
      <c r="G295" s="6">
        <v>578</v>
      </c>
      <c r="H295" s="6">
        <v>563</v>
      </c>
      <c r="I295" s="17">
        <f t="shared" si="8"/>
        <v>974.04844290657445</v>
      </c>
      <c r="J295" s="15">
        <f t="shared" si="9"/>
        <v>1</v>
      </c>
    </row>
    <row r="296" spans="1:10">
      <c r="A296" s="16">
        <v>285</v>
      </c>
      <c r="B296" s="3">
        <v>36</v>
      </c>
      <c r="C296" s="4" t="s">
        <v>306</v>
      </c>
      <c r="D296" s="9" t="s">
        <v>441</v>
      </c>
      <c r="E296" s="5" t="s">
        <v>271</v>
      </c>
      <c r="F296" s="6">
        <v>393</v>
      </c>
      <c r="G296" s="6">
        <v>198</v>
      </c>
      <c r="H296" s="6">
        <v>195</v>
      </c>
      <c r="I296" s="17">
        <f t="shared" si="8"/>
        <v>984.84848484848487</v>
      </c>
      <c r="J296" s="15">
        <f t="shared" si="9"/>
        <v>1</v>
      </c>
    </row>
    <row r="297" spans="1:10">
      <c r="A297" s="16">
        <v>286</v>
      </c>
      <c r="B297" s="3">
        <v>37</v>
      </c>
      <c r="C297" s="4" t="s">
        <v>307</v>
      </c>
      <c r="D297" s="9" t="s">
        <v>441</v>
      </c>
      <c r="E297" s="5" t="s">
        <v>271</v>
      </c>
      <c r="F297" s="6">
        <v>4705</v>
      </c>
      <c r="G297" s="6">
        <v>2484</v>
      </c>
      <c r="H297" s="6">
        <v>2221</v>
      </c>
      <c r="I297" s="17">
        <f t="shared" si="8"/>
        <v>894.12238325281805</v>
      </c>
      <c r="J297" s="15">
        <f t="shared" si="9"/>
        <v>2</v>
      </c>
    </row>
    <row r="298" spans="1:10" ht="60">
      <c r="A298" s="16">
        <v>287</v>
      </c>
      <c r="B298" s="3">
        <v>38</v>
      </c>
      <c r="C298" s="10" t="s">
        <v>308</v>
      </c>
      <c r="D298" s="9" t="s">
        <v>441</v>
      </c>
      <c r="E298" s="11" t="s">
        <v>271</v>
      </c>
      <c r="F298" s="12">
        <v>503</v>
      </c>
      <c r="G298" s="12">
        <v>260</v>
      </c>
      <c r="H298" s="12">
        <v>243</v>
      </c>
      <c r="I298" s="18">
        <f t="shared" si="8"/>
        <v>934.61538461538464</v>
      </c>
      <c r="J298" s="15">
        <f t="shared" si="9"/>
        <v>1</v>
      </c>
    </row>
    <row r="299" spans="1:10">
      <c r="A299" s="16">
        <v>288</v>
      </c>
      <c r="B299" s="3">
        <v>39</v>
      </c>
      <c r="C299" s="4" t="s">
        <v>309</v>
      </c>
      <c r="D299" s="9" t="s">
        <v>441</v>
      </c>
      <c r="E299" s="5" t="s">
        <v>271</v>
      </c>
      <c r="F299" s="6">
        <v>1014</v>
      </c>
      <c r="G299" s="6">
        <v>536</v>
      </c>
      <c r="H299" s="6">
        <v>478</v>
      </c>
      <c r="I299" s="17">
        <f t="shared" si="8"/>
        <v>891.79104477611941</v>
      </c>
      <c r="J299" s="15">
        <f t="shared" si="9"/>
        <v>2</v>
      </c>
    </row>
    <row r="300" spans="1:10">
      <c r="A300" s="16">
        <v>289</v>
      </c>
      <c r="B300" s="3">
        <v>40</v>
      </c>
      <c r="C300" s="8" t="s">
        <v>310</v>
      </c>
      <c r="D300" s="9" t="s">
        <v>441</v>
      </c>
      <c r="E300" s="5" t="s">
        <v>271</v>
      </c>
      <c r="F300" s="6">
        <v>0</v>
      </c>
      <c r="G300" s="6">
        <v>0</v>
      </c>
      <c r="H300" s="6">
        <v>0</v>
      </c>
      <c r="I300" s="17">
        <v>0</v>
      </c>
      <c r="J300" s="15">
        <f t="shared" si="9"/>
        <v>0</v>
      </c>
    </row>
    <row r="301" spans="1:10">
      <c r="A301" s="16">
        <v>290</v>
      </c>
      <c r="B301" s="3">
        <v>41</v>
      </c>
      <c r="C301" s="4" t="s">
        <v>311</v>
      </c>
      <c r="D301" s="9" t="s">
        <v>441</v>
      </c>
      <c r="E301" s="5" t="s">
        <v>271</v>
      </c>
      <c r="F301" s="6">
        <v>2412</v>
      </c>
      <c r="G301" s="6">
        <v>1280</v>
      </c>
      <c r="H301" s="6">
        <v>1132</v>
      </c>
      <c r="I301" s="17">
        <f t="shared" si="8"/>
        <v>884.375</v>
      </c>
      <c r="J301" s="15">
        <f t="shared" si="9"/>
        <v>2</v>
      </c>
    </row>
    <row r="302" spans="1:10">
      <c r="A302" s="16">
        <v>291</v>
      </c>
      <c r="B302" s="3">
        <v>42</v>
      </c>
      <c r="C302" s="8" t="s">
        <v>312</v>
      </c>
      <c r="D302" s="9" t="s">
        <v>441</v>
      </c>
      <c r="E302" s="5" t="s">
        <v>271</v>
      </c>
      <c r="F302" s="6">
        <v>0</v>
      </c>
      <c r="G302" s="6">
        <v>0</v>
      </c>
      <c r="H302" s="6">
        <v>0</v>
      </c>
      <c r="I302" s="17">
        <v>0</v>
      </c>
      <c r="J302" s="15">
        <f t="shared" si="9"/>
        <v>0</v>
      </c>
    </row>
    <row r="303" spans="1:10">
      <c r="A303" s="16">
        <v>292</v>
      </c>
      <c r="B303" s="3">
        <v>43</v>
      </c>
      <c r="C303" s="4" t="s">
        <v>313</v>
      </c>
      <c r="D303" s="9" t="s">
        <v>441</v>
      </c>
      <c r="E303" s="5" t="s">
        <v>271</v>
      </c>
      <c r="F303" s="6">
        <v>1743</v>
      </c>
      <c r="G303" s="6">
        <v>922</v>
      </c>
      <c r="H303" s="6">
        <v>821</v>
      </c>
      <c r="I303" s="17">
        <f t="shared" si="8"/>
        <v>890.45553145336225</v>
      </c>
      <c r="J303" s="15">
        <f t="shared" si="9"/>
        <v>2</v>
      </c>
    </row>
    <row r="304" spans="1:10">
      <c r="A304" s="16">
        <v>293</v>
      </c>
      <c r="B304" s="3">
        <v>44</v>
      </c>
      <c r="C304" s="4" t="s">
        <v>314</v>
      </c>
      <c r="D304" s="9" t="s">
        <v>441</v>
      </c>
      <c r="E304" s="5" t="s">
        <v>271</v>
      </c>
      <c r="F304" s="6">
        <v>1916</v>
      </c>
      <c r="G304" s="6">
        <v>981</v>
      </c>
      <c r="H304" s="6">
        <v>935</v>
      </c>
      <c r="I304" s="17">
        <f t="shared" si="8"/>
        <v>953.10907237512743</v>
      </c>
      <c r="J304" s="15">
        <f t="shared" si="9"/>
        <v>1</v>
      </c>
    </row>
    <row r="305" spans="1:10">
      <c r="A305" s="16">
        <v>294</v>
      </c>
      <c r="B305" s="3">
        <v>45</v>
      </c>
      <c r="C305" s="4" t="s">
        <v>315</v>
      </c>
      <c r="D305" s="9" t="s">
        <v>441</v>
      </c>
      <c r="E305" s="5" t="s">
        <v>271</v>
      </c>
      <c r="F305" s="6">
        <v>1876</v>
      </c>
      <c r="G305" s="6">
        <v>1009</v>
      </c>
      <c r="H305" s="6">
        <v>867</v>
      </c>
      <c r="I305" s="17">
        <f t="shared" si="8"/>
        <v>859.26660059464825</v>
      </c>
      <c r="J305" s="15">
        <f t="shared" si="9"/>
        <v>2</v>
      </c>
    </row>
    <row r="306" spans="1:10">
      <c r="A306" s="16">
        <v>295</v>
      </c>
      <c r="B306" s="3">
        <v>46</v>
      </c>
      <c r="C306" s="4" t="s">
        <v>316</v>
      </c>
      <c r="D306" s="9" t="s">
        <v>441</v>
      </c>
      <c r="E306" s="5" t="s">
        <v>271</v>
      </c>
      <c r="F306" s="6">
        <v>3166</v>
      </c>
      <c r="G306" s="6">
        <v>1636</v>
      </c>
      <c r="H306" s="6">
        <v>1530</v>
      </c>
      <c r="I306" s="17">
        <f t="shared" si="8"/>
        <v>935.20782396088021</v>
      </c>
      <c r="J306" s="15">
        <f t="shared" si="9"/>
        <v>1</v>
      </c>
    </row>
    <row r="307" spans="1:10">
      <c r="A307" s="16">
        <v>296</v>
      </c>
      <c r="B307" s="3">
        <v>47</v>
      </c>
      <c r="C307" s="4" t="s">
        <v>317</v>
      </c>
      <c r="D307" s="9" t="s">
        <v>441</v>
      </c>
      <c r="E307" s="5" t="s">
        <v>271</v>
      </c>
      <c r="F307" s="6">
        <v>1159</v>
      </c>
      <c r="G307" s="6">
        <v>603</v>
      </c>
      <c r="H307" s="6">
        <v>556</v>
      </c>
      <c r="I307" s="17">
        <f t="shared" si="8"/>
        <v>922.05638474295188</v>
      </c>
      <c r="J307" s="15">
        <f t="shared" si="9"/>
        <v>1</v>
      </c>
    </row>
    <row r="308" spans="1:10">
      <c r="A308" s="16">
        <v>297</v>
      </c>
      <c r="B308" s="3">
        <v>48</v>
      </c>
      <c r="C308" s="4" t="s">
        <v>318</v>
      </c>
      <c r="D308" s="9" t="s">
        <v>441</v>
      </c>
      <c r="E308" s="5" t="s">
        <v>271</v>
      </c>
      <c r="F308" s="6">
        <v>6394</v>
      </c>
      <c r="G308" s="6">
        <v>3350</v>
      </c>
      <c r="H308" s="6">
        <v>3044</v>
      </c>
      <c r="I308" s="17">
        <f t="shared" si="8"/>
        <v>908.6567164179105</v>
      </c>
      <c r="J308" s="15">
        <f t="shared" si="9"/>
        <v>1</v>
      </c>
    </row>
    <row r="309" spans="1:10">
      <c r="A309" s="16">
        <v>298</v>
      </c>
      <c r="B309" s="3">
        <v>49</v>
      </c>
      <c r="C309" s="4" t="s">
        <v>319</v>
      </c>
      <c r="D309" s="9" t="s">
        <v>441</v>
      </c>
      <c r="E309" s="5" t="s">
        <v>271</v>
      </c>
      <c r="F309" s="6">
        <v>3731</v>
      </c>
      <c r="G309" s="6">
        <v>1942</v>
      </c>
      <c r="H309" s="6">
        <v>1789</v>
      </c>
      <c r="I309" s="17">
        <f t="shared" si="8"/>
        <v>921.21524201853754</v>
      </c>
      <c r="J309" s="15">
        <f t="shared" si="9"/>
        <v>1</v>
      </c>
    </row>
    <row r="310" spans="1:10">
      <c r="A310" s="16">
        <v>299</v>
      </c>
      <c r="B310" s="3">
        <v>50</v>
      </c>
      <c r="C310" s="4" t="s">
        <v>320</v>
      </c>
      <c r="D310" s="9" t="s">
        <v>441</v>
      </c>
      <c r="E310" s="5" t="s">
        <v>271</v>
      </c>
      <c r="F310" s="6">
        <v>1025</v>
      </c>
      <c r="G310" s="6">
        <v>488</v>
      </c>
      <c r="H310" s="6">
        <v>537</v>
      </c>
      <c r="I310" s="17">
        <f t="shared" si="8"/>
        <v>1100.4098360655739</v>
      </c>
      <c r="J310" s="15">
        <f t="shared" si="9"/>
        <v>1</v>
      </c>
    </row>
    <row r="311" spans="1:10">
      <c r="A311" s="16">
        <v>300</v>
      </c>
      <c r="B311" s="3">
        <v>51</v>
      </c>
      <c r="C311" s="4" t="s">
        <v>321</v>
      </c>
      <c r="D311" s="9" t="s">
        <v>441</v>
      </c>
      <c r="E311" s="5" t="s">
        <v>271</v>
      </c>
      <c r="F311" s="6">
        <v>2137</v>
      </c>
      <c r="G311" s="6">
        <v>1125</v>
      </c>
      <c r="H311" s="6">
        <v>1012</v>
      </c>
      <c r="I311" s="17">
        <f t="shared" si="8"/>
        <v>899.55555555555554</v>
      </c>
      <c r="J311" s="15">
        <f t="shared" si="9"/>
        <v>2</v>
      </c>
    </row>
    <row r="312" spans="1:10">
      <c r="A312" s="16">
        <v>301</v>
      </c>
      <c r="B312" s="3">
        <v>52</v>
      </c>
      <c r="C312" s="4" t="s">
        <v>322</v>
      </c>
      <c r="D312" s="9" t="s">
        <v>441</v>
      </c>
      <c r="E312" s="5" t="s">
        <v>271</v>
      </c>
      <c r="F312" s="6">
        <v>877</v>
      </c>
      <c r="G312" s="6">
        <v>438</v>
      </c>
      <c r="H312" s="6">
        <v>439</v>
      </c>
      <c r="I312" s="17">
        <f t="shared" si="8"/>
        <v>1002.2831050228311</v>
      </c>
      <c r="J312" s="15">
        <f t="shared" si="9"/>
        <v>1</v>
      </c>
    </row>
    <row r="313" spans="1:10">
      <c r="A313" s="16">
        <v>302</v>
      </c>
      <c r="B313" s="3">
        <v>53</v>
      </c>
      <c r="C313" s="4" t="s">
        <v>323</v>
      </c>
      <c r="D313" s="9" t="s">
        <v>441</v>
      </c>
      <c r="E313" s="5" t="s">
        <v>271</v>
      </c>
      <c r="F313" s="6">
        <v>5682</v>
      </c>
      <c r="G313" s="6">
        <v>2887</v>
      </c>
      <c r="H313" s="6">
        <v>2795</v>
      </c>
      <c r="I313" s="17">
        <f t="shared" si="8"/>
        <v>968.13301004502955</v>
      </c>
      <c r="J313" s="15">
        <f t="shared" si="9"/>
        <v>1</v>
      </c>
    </row>
    <row r="314" spans="1:10">
      <c r="A314" s="16">
        <v>303</v>
      </c>
      <c r="B314" s="3">
        <v>54</v>
      </c>
      <c r="C314" s="4" t="s">
        <v>324</v>
      </c>
      <c r="D314" s="9" t="s">
        <v>441</v>
      </c>
      <c r="E314" s="5" t="s">
        <v>271</v>
      </c>
      <c r="F314" s="6">
        <v>234</v>
      </c>
      <c r="G314" s="6">
        <v>126</v>
      </c>
      <c r="H314" s="6">
        <v>108</v>
      </c>
      <c r="I314" s="17">
        <f t="shared" si="8"/>
        <v>857.14285714285711</v>
      </c>
      <c r="J314" s="15">
        <f t="shared" si="9"/>
        <v>2</v>
      </c>
    </row>
    <row r="315" spans="1:10">
      <c r="A315" s="16">
        <v>304</v>
      </c>
      <c r="B315" s="3">
        <v>55</v>
      </c>
      <c r="C315" s="4" t="s">
        <v>325</v>
      </c>
      <c r="D315" s="9" t="s">
        <v>441</v>
      </c>
      <c r="E315" s="5" t="s">
        <v>271</v>
      </c>
      <c r="F315" s="6">
        <v>1114</v>
      </c>
      <c r="G315" s="6">
        <v>591</v>
      </c>
      <c r="H315" s="6">
        <v>523</v>
      </c>
      <c r="I315" s="17">
        <f t="shared" si="8"/>
        <v>884.94077834179348</v>
      </c>
      <c r="J315" s="15">
        <f t="shared" si="9"/>
        <v>2</v>
      </c>
    </row>
    <row r="316" spans="1:10">
      <c r="A316" s="16">
        <v>305</v>
      </c>
      <c r="B316" s="3">
        <v>56</v>
      </c>
      <c r="C316" s="4" t="s">
        <v>326</v>
      </c>
      <c r="D316" s="9" t="s">
        <v>441</v>
      </c>
      <c r="E316" s="5" t="s">
        <v>271</v>
      </c>
      <c r="F316" s="6">
        <v>138</v>
      </c>
      <c r="G316" s="6">
        <v>66</v>
      </c>
      <c r="H316" s="6">
        <v>72</v>
      </c>
      <c r="I316" s="17">
        <f t="shared" si="8"/>
        <v>1090.9090909090908</v>
      </c>
      <c r="J316" s="15">
        <f t="shared" si="9"/>
        <v>1</v>
      </c>
    </row>
    <row r="317" spans="1:10">
      <c r="A317" s="16">
        <v>306</v>
      </c>
      <c r="B317" s="3">
        <v>57</v>
      </c>
      <c r="C317" s="4" t="s">
        <v>327</v>
      </c>
      <c r="D317" s="9" t="s">
        <v>441</v>
      </c>
      <c r="E317" s="5" t="s">
        <v>271</v>
      </c>
      <c r="F317" s="6">
        <v>1616</v>
      </c>
      <c r="G317" s="6">
        <v>853</v>
      </c>
      <c r="H317" s="6">
        <v>763</v>
      </c>
      <c r="I317" s="17">
        <f t="shared" si="8"/>
        <v>894.49003516998823</v>
      </c>
      <c r="J317" s="15">
        <f t="shared" si="9"/>
        <v>2</v>
      </c>
    </row>
    <row r="318" spans="1:10">
      <c r="A318" s="16">
        <v>307</v>
      </c>
      <c r="B318" s="3">
        <v>58</v>
      </c>
      <c r="C318" s="4" t="s">
        <v>328</v>
      </c>
      <c r="D318" s="9" t="s">
        <v>441</v>
      </c>
      <c r="E318" s="5" t="s">
        <v>271</v>
      </c>
      <c r="F318" s="6">
        <v>472</v>
      </c>
      <c r="G318" s="6">
        <v>228</v>
      </c>
      <c r="H318" s="6">
        <v>244</v>
      </c>
      <c r="I318" s="17">
        <f t="shared" si="8"/>
        <v>1070.1754385964912</v>
      </c>
      <c r="J318" s="15">
        <f t="shared" si="9"/>
        <v>1</v>
      </c>
    </row>
    <row r="319" spans="1:10">
      <c r="A319" s="16">
        <v>308</v>
      </c>
      <c r="B319" s="3">
        <v>59</v>
      </c>
      <c r="C319" s="4" t="s">
        <v>329</v>
      </c>
      <c r="D319" s="9" t="s">
        <v>441</v>
      </c>
      <c r="E319" s="5" t="s">
        <v>271</v>
      </c>
      <c r="F319" s="6">
        <v>6625</v>
      </c>
      <c r="G319" s="6">
        <v>3499</v>
      </c>
      <c r="H319" s="6">
        <v>3126</v>
      </c>
      <c r="I319" s="17">
        <f t="shared" si="8"/>
        <v>893.39811374678482</v>
      </c>
      <c r="J319" s="15">
        <f t="shared" si="9"/>
        <v>2</v>
      </c>
    </row>
    <row r="320" spans="1:10">
      <c r="A320" s="16">
        <v>309</v>
      </c>
      <c r="B320" s="3">
        <v>60</v>
      </c>
      <c r="C320" s="8" t="s">
        <v>330</v>
      </c>
      <c r="D320" s="9" t="s">
        <v>441</v>
      </c>
      <c r="E320" s="5" t="s">
        <v>271</v>
      </c>
      <c r="F320" s="6">
        <v>0</v>
      </c>
      <c r="G320" s="6">
        <v>0</v>
      </c>
      <c r="H320" s="6">
        <v>0</v>
      </c>
      <c r="I320" s="17">
        <v>0</v>
      </c>
      <c r="J320" s="15">
        <f t="shared" si="9"/>
        <v>0</v>
      </c>
    </row>
    <row r="321" spans="1:10">
      <c r="A321" s="16">
        <v>310</v>
      </c>
      <c r="B321" s="3">
        <v>61</v>
      </c>
      <c r="C321" s="4" t="s">
        <v>331</v>
      </c>
      <c r="D321" s="9" t="s">
        <v>441</v>
      </c>
      <c r="E321" s="5" t="s">
        <v>271</v>
      </c>
      <c r="F321" s="6">
        <v>685</v>
      </c>
      <c r="G321" s="6">
        <v>352</v>
      </c>
      <c r="H321" s="6">
        <v>333</v>
      </c>
      <c r="I321" s="17">
        <f t="shared" si="8"/>
        <v>946.02272727272725</v>
      </c>
      <c r="J321" s="15">
        <f t="shared" si="9"/>
        <v>1</v>
      </c>
    </row>
    <row r="322" spans="1:10">
      <c r="A322" s="16">
        <v>311</v>
      </c>
      <c r="B322" s="3">
        <v>62</v>
      </c>
      <c r="C322" s="4" t="s">
        <v>332</v>
      </c>
      <c r="D322" s="9" t="s">
        <v>441</v>
      </c>
      <c r="E322" s="5" t="s">
        <v>271</v>
      </c>
      <c r="F322" s="6">
        <v>2060</v>
      </c>
      <c r="G322" s="6">
        <v>1082</v>
      </c>
      <c r="H322" s="6">
        <v>978</v>
      </c>
      <c r="I322" s="17">
        <f t="shared" si="8"/>
        <v>903.88170055452861</v>
      </c>
      <c r="J322" s="15">
        <f t="shared" si="9"/>
        <v>1</v>
      </c>
    </row>
    <row r="323" spans="1:10">
      <c r="A323" s="16">
        <v>312</v>
      </c>
      <c r="B323" s="3">
        <v>63</v>
      </c>
      <c r="C323" s="4" t="s">
        <v>333</v>
      </c>
      <c r="D323" s="9" t="s">
        <v>441</v>
      </c>
      <c r="E323" s="5" t="s">
        <v>271</v>
      </c>
      <c r="F323" s="6">
        <v>3686</v>
      </c>
      <c r="G323" s="6">
        <v>1950</v>
      </c>
      <c r="H323" s="6">
        <v>1736</v>
      </c>
      <c r="I323" s="17">
        <f t="shared" si="8"/>
        <v>890.25641025641028</v>
      </c>
      <c r="J323" s="15">
        <f t="shared" si="9"/>
        <v>2</v>
      </c>
    </row>
    <row r="324" spans="1:10">
      <c r="A324" s="16">
        <v>313</v>
      </c>
      <c r="B324" s="3">
        <v>64</v>
      </c>
      <c r="C324" s="4" t="s">
        <v>334</v>
      </c>
      <c r="D324" s="9" t="s">
        <v>441</v>
      </c>
      <c r="E324" s="5" t="s">
        <v>271</v>
      </c>
      <c r="F324" s="6">
        <v>2195</v>
      </c>
      <c r="G324" s="6">
        <v>1173</v>
      </c>
      <c r="H324" s="6">
        <v>1022</v>
      </c>
      <c r="I324" s="17">
        <f t="shared" si="8"/>
        <v>871.27024722932651</v>
      </c>
      <c r="J324" s="15">
        <f t="shared" si="9"/>
        <v>2</v>
      </c>
    </row>
    <row r="325" spans="1:10">
      <c r="A325" s="16">
        <v>314</v>
      </c>
      <c r="B325" s="3">
        <v>65</v>
      </c>
      <c r="C325" s="4" t="s">
        <v>335</v>
      </c>
      <c r="D325" s="9" t="s">
        <v>441</v>
      </c>
      <c r="E325" s="5" t="s">
        <v>271</v>
      </c>
      <c r="F325" s="6">
        <v>3438</v>
      </c>
      <c r="G325" s="6">
        <v>1784</v>
      </c>
      <c r="H325" s="6">
        <v>1654</v>
      </c>
      <c r="I325" s="17">
        <f t="shared" si="8"/>
        <v>927.13004484304929</v>
      </c>
      <c r="J325" s="15">
        <f t="shared" si="9"/>
        <v>1</v>
      </c>
    </row>
    <row r="326" spans="1:10">
      <c r="A326" s="16">
        <v>315</v>
      </c>
      <c r="B326" s="3">
        <v>66</v>
      </c>
      <c r="C326" s="4" t="s">
        <v>336</v>
      </c>
      <c r="D326" s="9" t="s">
        <v>441</v>
      </c>
      <c r="E326" s="5" t="s">
        <v>271</v>
      </c>
      <c r="F326" s="6">
        <v>420</v>
      </c>
      <c r="G326" s="6">
        <v>215</v>
      </c>
      <c r="H326" s="6">
        <v>205</v>
      </c>
      <c r="I326" s="17">
        <f t="shared" si="8"/>
        <v>953.48837209302326</v>
      </c>
      <c r="J326" s="15">
        <f t="shared" si="9"/>
        <v>1</v>
      </c>
    </row>
    <row r="327" spans="1:10">
      <c r="A327" s="16">
        <v>316</v>
      </c>
      <c r="B327" s="3">
        <v>1</v>
      </c>
      <c r="C327" s="4" t="s">
        <v>337</v>
      </c>
      <c r="D327" s="9" t="s">
        <v>441</v>
      </c>
      <c r="E327" s="5" t="s">
        <v>338</v>
      </c>
      <c r="F327" s="6">
        <v>2599</v>
      </c>
      <c r="G327" s="6">
        <v>1387</v>
      </c>
      <c r="H327" s="6">
        <v>1212</v>
      </c>
      <c r="I327" s="17">
        <f t="shared" si="8"/>
        <v>873.8284066330209</v>
      </c>
      <c r="J327" s="15">
        <f t="shared" si="9"/>
        <v>2</v>
      </c>
    </row>
    <row r="328" spans="1:10">
      <c r="A328" s="16">
        <v>317</v>
      </c>
      <c r="B328" s="3">
        <v>2</v>
      </c>
      <c r="C328" s="4" t="s">
        <v>339</v>
      </c>
      <c r="D328" s="9" t="s">
        <v>441</v>
      </c>
      <c r="E328" s="5" t="s">
        <v>338</v>
      </c>
      <c r="F328" s="6">
        <v>2474</v>
      </c>
      <c r="G328" s="6">
        <v>1316</v>
      </c>
      <c r="H328" s="6">
        <v>1158</v>
      </c>
      <c r="I328" s="17">
        <f t="shared" si="8"/>
        <v>879.93920972644378</v>
      </c>
      <c r="J328" s="15">
        <f t="shared" si="9"/>
        <v>2</v>
      </c>
    </row>
    <row r="329" spans="1:10">
      <c r="A329" s="16">
        <v>318</v>
      </c>
      <c r="B329" s="3">
        <v>3</v>
      </c>
      <c r="C329" s="4" t="s">
        <v>340</v>
      </c>
      <c r="D329" s="9" t="s">
        <v>441</v>
      </c>
      <c r="E329" s="5" t="s">
        <v>338</v>
      </c>
      <c r="F329" s="6">
        <v>486</v>
      </c>
      <c r="G329" s="6">
        <v>255</v>
      </c>
      <c r="H329" s="6">
        <v>231</v>
      </c>
      <c r="I329" s="17">
        <f t="shared" si="8"/>
        <v>905.88235294117646</v>
      </c>
      <c r="J329" s="15">
        <f t="shared" si="9"/>
        <v>1</v>
      </c>
    </row>
    <row r="330" spans="1:10">
      <c r="A330" s="16">
        <v>319</v>
      </c>
      <c r="B330" s="3">
        <v>4</v>
      </c>
      <c r="C330" s="4" t="s">
        <v>341</v>
      </c>
      <c r="D330" s="9" t="s">
        <v>441</v>
      </c>
      <c r="E330" s="5" t="s">
        <v>338</v>
      </c>
      <c r="F330" s="6">
        <v>163</v>
      </c>
      <c r="G330" s="6">
        <v>77</v>
      </c>
      <c r="H330" s="6">
        <v>86</v>
      </c>
      <c r="I330" s="17">
        <f t="shared" si="8"/>
        <v>1116.8831168831168</v>
      </c>
      <c r="J330" s="15">
        <f t="shared" si="9"/>
        <v>1</v>
      </c>
    </row>
    <row r="331" spans="1:10">
      <c r="A331" s="16">
        <v>320</v>
      </c>
      <c r="B331" s="3">
        <v>5</v>
      </c>
      <c r="C331" s="4" t="s">
        <v>342</v>
      </c>
      <c r="D331" s="9" t="s">
        <v>441</v>
      </c>
      <c r="E331" s="5" t="s">
        <v>338</v>
      </c>
      <c r="F331" s="6">
        <v>378</v>
      </c>
      <c r="G331" s="6">
        <v>198</v>
      </c>
      <c r="H331" s="6">
        <v>180</v>
      </c>
      <c r="I331" s="17">
        <f t="shared" si="8"/>
        <v>909.09090909090901</v>
      </c>
      <c r="J331" s="15">
        <f t="shared" si="9"/>
        <v>1</v>
      </c>
    </row>
    <row r="332" spans="1:10">
      <c r="A332" s="16">
        <v>321</v>
      </c>
      <c r="B332" s="3">
        <v>6</v>
      </c>
      <c r="C332" s="4" t="s">
        <v>343</v>
      </c>
      <c r="D332" s="9" t="s">
        <v>441</v>
      </c>
      <c r="E332" s="5" t="s">
        <v>338</v>
      </c>
      <c r="F332" s="6">
        <v>786</v>
      </c>
      <c r="G332" s="6">
        <v>426</v>
      </c>
      <c r="H332" s="6">
        <v>360</v>
      </c>
      <c r="I332" s="17">
        <f t="shared" ref="I332:I396" si="10">H332/G332*1000</f>
        <v>845.07042253521126</v>
      </c>
      <c r="J332" s="15">
        <f t="shared" si="9"/>
        <v>2</v>
      </c>
    </row>
    <row r="333" spans="1:10">
      <c r="A333" s="16">
        <v>322</v>
      </c>
      <c r="B333" s="3">
        <v>7</v>
      </c>
      <c r="C333" s="4" t="s">
        <v>344</v>
      </c>
      <c r="D333" s="9" t="s">
        <v>441</v>
      </c>
      <c r="E333" s="5" t="s">
        <v>338</v>
      </c>
      <c r="F333" s="6">
        <v>1986</v>
      </c>
      <c r="G333" s="6">
        <v>1035</v>
      </c>
      <c r="H333" s="6">
        <v>951</v>
      </c>
      <c r="I333" s="17">
        <f t="shared" si="10"/>
        <v>918.84057971014488</v>
      </c>
      <c r="J333" s="15">
        <f t="shared" ref="J333:J396" si="11">IF($I333&gt;900,1,IF($I333&gt;800,2,IF($I333&gt;700,3,0)))</f>
        <v>1</v>
      </c>
    </row>
    <row r="334" spans="1:10">
      <c r="A334" s="16">
        <v>323</v>
      </c>
      <c r="B334" s="3">
        <v>8</v>
      </c>
      <c r="C334" s="4" t="s">
        <v>345</v>
      </c>
      <c r="D334" s="9" t="s">
        <v>441</v>
      </c>
      <c r="E334" s="5" t="s">
        <v>338</v>
      </c>
      <c r="F334" s="6">
        <v>2041</v>
      </c>
      <c r="G334" s="6">
        <v>1080</v>
      </c>
      <c r="H334" s="6">
        <v>961</v>
      </c>
      <c r="I334" s="17">
        <f t="shared" si="10"/>
        <v>889.81481481481478</v>
      </c>
      <c r="J334" s="15">
        <f t="shared" si="11"/>
        <v>2</v>
      </c>
    </row>
    <row r="335" spans="1:10">
      <c r="A335" s="16">
        <v>324</v>
      </c>
      <c r="B335" s="3">
        <v>9</v>
      </c>
      <c r="C335" s="4" t="s">
        <v>346</v>
      </c>
      <c r="D335" s="9" t="s">
        <v>441</v>
      </c>
      <c r="E335" s="5" t="s">
        <v>338</v>
      </c>
      <c r="F335" s="6">
        <v>766</v>
      </c>
      <c r="G335" s="6">
        <v>395</v>
      </c>
      <c r="H335" s="6">
        <v>371</v>
      </c>
      <c r="I335" s="17">
        <f t="shared" si="10"/>
        <v>939.24050632911394</v>
      </c>
      <c r="J335" s="15">
        <f t="shared" si="11"/>
        <v>1</v>
      </c>
    </row>
    <row r="336" spans="1:10">
      <c r="A336" s="16">
        <v>325</v>
      </c>
      <c r="B336" s="3">
        <v>10</v>
      </c>
      <c r="C336" s="4" t="s">
        <v>347</v>
      </c>
      <c r="D336" s="9" t="s">
        <v>441</v>
      </c>
      <c r="E336" s="5" t="s">
        <v>338</v>
      </c>
      <c r="F336" s="6">
        <v>1167</v>
      </c>
      <c r="G336" s="6">
        <v>626</v>
      </c>
      <c r="H336" s="6">
        <v>541</v>
      </c>
      <c r="I336" s="17">
        <f t="shared" si="10"/>
        <v>864.21725239616615</v>
      </c>
      <c r="J336" s="15">
        <f t="shared" si="11"/>
        <v>2</v>
      </c>
    </row>
    <row r="337" spans="1:10">
      <c r="A337" s="16">
        <v>326</v>
      </c>
      <c r="B337" s="3">
        <v>11</v>
      </c>
      <c r="C337" s="4" t="s">
        <v>348</v>
      </c>
      <c r="D337" s="9" t="s">
        <v>441</v>
      </c>
      <c r="E337" s="5" t="s">
        <v>338</v>
      </c>
      <c r="F337" s="6">
        <v>519</v>
      </c>
      <c r="G337" s="6">
        <v>269</v>
      </c>
      <c r="H337" s="6">
        <v>250</v>
      </c>
      <c r="I337" s="17">
        <f t="shared" si="10"/>
        <v>929.36802973977694</v>
      </c>
      <c r="J337" s="15">
        <f t="shared" si="11"/>
        <v>1</v>
      </c>
    </row>
    <row r="338" spans="1:10">
      <c r="A338" s="16">
        <v>327</v>
      </c>
      <c r="B338" s="3">
        <v>12</v>
      </c>
      <c r="C338" s="4" t="s">
        <v>349</v>
      </c>
      <c r="D338" s="9" t="s">
        <v>441</v>
      </c>
      <c r="E338" s="5" t="s">
        <v>338</v>
      </c>
      <c r="F338" s="6">
        <v>1529</v>
      </c>
      <c r="G338" s="6">
        <v>805</v>
      </c>
      <c r="H338" s="6">
        <v>724</v>
      </c>
      <c r="I338" s="17">
        <f t="shared" si="10"/>
        <v>899.37888198757764</v>
      </c>
      <c r="J338" s="15">
        <f t="shared" si="11"/>
        <v>2</v>
      </c>
    </row>
    <row r="339" spans="1:10">
      <c r="A339" s="16">
        <v>328</v>
      </c>
      <c r="B339" s="3">
        <v>13</v>
      </c>
      <c r="C339" s="4" t="s">
        <v>350</v>
      </c>
      <c r="D339" s="9" t="s">
        <v>441</v>
      </c>
      <c r="E339" s="5" t="s">
        <v>338</v>
      </c>
      <c r="F339" s="6">
        <v>1634</v>
      </c>
      <c r="G339" s="6">
        <v>882</v>
      </c>
      <c r="H339" s="6">
        <v>752</v>
      </c>
      <c r="I339" s="17">
        <f t="shared" si="10"/>
        <v>852.60770975056687</v>
      </c>
      <c r="J339" s="15">
        <f t="shared" si="11"/>
        <v>2</v>
      </c>
    </row>
    <row r="340" spans="1:10">
      <c r="A340" s="16">
        <v>329</v>
      </c>
      <c r="B340" s="3">
        <v>14</v>
      </c>
      <c r="C340" s="4" t="s">
        <v>351</v>
      </c>
      <c r="D340" s="9" t="s">
        <v>441</v>
      </c>
      <c r="E340" s="5" t="s">
        <v>338</v>
      </c>
      <c r="F340" s="6">
        <v>1129</v>
      </c>
      <c r="G340" s="6">
        <v>607</v>
      </c>
      <c r="H340" s="6">
        <v>522</v>
      </c>
      <c r="I340" s="17">
        <f t="shared" si="10"/>
        <v>859.96705107084017</v>
      </c>
      <c r="J340" s="15">
        <f t="shared" si="11"/>
        <v>2</v>
      </c>
    </row>
    <row r="341" spans="1:10">
      <c r="A341" s="16">
        <v>330</v>
      </c>
      <c r="B341" s="3">
        <v>15</v>
      </c>
      <c r="C341" s="4" t="s">
        <v>352</v>
      </c>
      <c r="D341" s="9" t="s">
        <v>441</v>
      </c>
      <c r="E341" s="5" t="s">
        <v>338</v>
      </c>
      <c r="F341" s="6">
        <v>369</v>
      </c>
      <c r="G341" s="6">
        <v>198</v>
      </c>
      <c r="H341" s="6">
        <v>171</v>
      </c>
      <c r="I341" s="17">
        <f t="shared" si="10"/>
        <v>863.63636363636363</v>
      </c>
      <c r="J341" s="15">
        <f t="shared" si="11"/>
        <v>2</v>
      </c>
    </row>
    <row r="342" spans="1:10">
      <c r="A342" s="16">
        <v>331</v>
      </c>
      <c r="B342" s="3">
        <v>16</v>
      </c>
      <c r="C342" s="4" t="s">
        <v>353</v>
      </c>
      <c r="D342" s="9" t="s">
        <v>441</v>
      </c>
      <c r="E342" s="5" t="s">
        <v>338</v>
      </c>
      <c r="F342" s="6">
        <v>2659</v>
      </c>
      <c r="G342" s="6">
        <v>1392</v>
      </c>
      <c r="H342" s="6">
        <v>1267</v>
      </c>
      <c r="I342" s="17">
        <f t="shared" si="10"/>
        <v>910.20114942528744</v>
      </c>
      <c r="J342" s="15">
        <f t="shared" si="11"/>
        <v>1</v>
      </c>
    </row>
    <row r="343" spans="1:10">
      <c r="A343" s="16">
        <v>332</v>
      </c>
      <c r="B343" s="3">
        <v>17</v>
      </c>
      <c r="C343" s="4" t="s">
        <v>354</v>
      </c>
      <c r="D343" s="9" t="s">
        <v>441</v>
      </c>
      <c r="E343" s="5" t="s">
        <v>338</v>
      </c>
      <c r="F343" s="6">
        <v>7089</v>
      </c>
      <c r="G343" s="6">
        <v>3781</v>
      </c>
      <c r="H343" s="6">
        <v>3308</v>
      </c>
      <c r="I343" s="17">
        <f t="shared" si="10"/>
        <v>874.90081988891836</v>
      </c>
      <c r="J343" s="15">
        <f t="shared" si="11"/>
        <v>2</v>
      </c>
    </row>
    <row r="344" spans="1:10">
      <c r="A344" s="16">
        <v>333</v>
      </c>
      <c r="B344" s="3">
        <v>18</v>
      </c>
      <c r="C344" s="4" t="s">
        <v>355</v>
      </c>
      <c r="D344" s="9" t="s">
        <v>441</v>
      </c>
      <c r="E344" s="5" t="s">
        <v>338</v>
      </c>
      <c r="F344" s="6">
        <v>1421</v>
      </c>
      <c r="G344" s="6">
        <v>748</v>
      </c>
      <c r="H344" s="6">
        <v>673</v>
      </c>
      <c r="I344" s="17">
        <f t="shared" si="10"/>
        <v>899.73262032085563</v>
      </c>
      <c r="J344" s="15">
        <f t="shared" si="11"/>
        <v>2</v>
      </c>
    </row>
    <row r="345" spans="1:10">
      <c r="A345" s="16">
        <v>334</v>
      </c>
      <c r="B345" s="3">
        <v>19</v>
      </c>
      <c r="C345" s="4" t="s">
        <v>356</v>
      </c>
      <c r="D345" s="9" t="s">
        <v>441</v>
      </c>
      <c r="E345" s="5" t="s">
        <v>338</v>
      </c>
      <c r="F345" s="6">
        <v>2007</v>
      </c>
      <c r="G345" s="6">
        <v>1085</v>
      </c>
      <c r="H345" s="6">
        <v>922</v>
      </c>
      <c r="I345" s="17">
        <f t="shared" si="10"/>
        <v>849.76958525345628</v>
      </c>
      <c r="J345" s="15">
        <f t="shared" si="11"/>
        <v>2</v>
      </c>
    </row>
    <row r="346" spans="1:10">
      <c r="A346" s="16">
        <v>335</v>
      </c>
      <c r="B346" s="3">
        <v>20</v>
      </c>
      <c r="C346" s="4" t="s">
        <v>357</v>
      </c>
      <c r="D346" s="9" t="s">
        <v>441</v>
      </c>
      <c r="E346" s="5" t="s">
        <v>338</v>
      </c>
      <c r="F346" s="6">
        <v>236</v>
      </c>
      <c r="G346" s="6">
        <v>121</v>
      </c>
      <c r="H346" s="6">
        <v>115</v>
      </c>
      <c r="I346" s="17">
        <f t="shared" si="10"/>
        <v>950.41322314049592</v>
      </c>
      <c r="J346" s="15">
        <f t="shared" si="11"/>
        <v>1</v>
      </c>
    </row>
    <row r="347" spans="1:10">
      <c r="A347" s="16">
        <v>336</v>
      </c>
      <c r="B347" s="3">
        <v>21</v>
      </c>
      <c r="C347" s="4" t="s">
        <v>358</v>
      </c>
      <c r="D347" s="9" t="s">
        <v>441</v>
      </c>
      <c r="E347" s="5" t="s">
        <v>338</v>
      </c>
      <c r="F347" s="6">
        <v>1970</v>
      </c>
      <c r="G347" s="6">
        <v>1039</v>
      </c>
      <c r="H347" s="6">
        <v>931</v>
      </c>
      <c r="I347" s="17">
        <f t="shared" si="10"/>
        <v>896.05389797882583</v>
      </c>
      <c r="J347" s="15">
        <f t="shared" si="11"/>
        <v>2</v>
      </c>
    </row>
    <row r="348" spans="1:10">
      <c r="A348" s="16">
        <v>337</v>
      </c>
      <c r="B348" s="3">
        <v>22</v>
      </c>
      <c r="C348" s="4" t="s">
        <v>359</v>
      </c>
      <c r="D348" s="9" t="s">
        <v>441</v>
      </c>
      <c r="E348" s="5" t="s">
        <v>338</v>
      </c>
      <c r="F348" s="6">
        <v>330</v>
      </c>
      <c r="G348" s="6">
        <v>175</v>
      </c>
      <c r="H348" s="6">
        <v>155</v>
      </c>
      <c r="I348" s="17">
        <f t="shared" si="10"/>
        <v>885.71428571428567</v>
      </c>
      <c r="J348" s="15">
        <f t="shared" si="11"/>
        <v>2</v>
      </c>
    </row>
    <row r="349" spans="1:10">
      <c r="A349" s="16">
        <v>338</v>
      </c>
      <c r="B349" s="3">
        <v>23</v>
      </c>
      <c r="C349" s="4" t="s">
        <v>360</v>
      </c>
      <c r="D349" s="9" t="s">
        <v>441</v>
      </c>
      <c r="E349" s="5" t="s">
        <v>338</v>
      </c>
      <c r="F349" s="6">
        <v>1480</v>
      </c>
      <c r="G349" s="6">
        <v>781</v>
      </c>
      <c r="H349" s="6">
        <v>699</v>
      </c>
      <c r="I349" s="17">
        <f t="shared" si="10"/>
        <v>895.00640204865556</v>
      </c>
      <c r="J349" s="15">
        <f t="shared" si="11"/>
        <v>2</v>
      </c>
    </row>
    <row r="350" spans="1:10">
      <c r="A350" s="16">
        <v>339</v>
      </c>
      <c r="B350" s="3">
        <v>24</v>
      </c>
      <c r="C350" s="4" t="s">
        <v>361</v>
      </c>
      <c r="D350" s="9" t="s">
        <v>441</v>
      </c>
      <c r="E350" s="5" t="s">
        <v>338</v>
      </c>
      <c r="F350" s="6">
        <v>403</v>
      </c>
      <c r="G350" s="6">
        <v>211</v>
      </c>
      <c r="H350" s="6">
        <v>192</v>
      </c>
      <c r="I350" s="17">
        <f>H350/G350*1000</f>
        <v>909.95260663507099</v>
      </c>
      <c r="J350" s="15">
        <f t="shared" si="11"/>
        <v>1</v>
      </c>
    </row>
    <row r="351" spans="1:10">
      <c r="A351" s="16">
        <v>340</v>
      </c>
      <c r="B351" s="3">
        <v>25</v>
      </c>
      <c r="C351" s="4" t="s">
        <v>362</v>
      </c>
      <c r="D351" s="9" t="s">
        <v>441</v>
      </c>
      <c r="E351" s="5" t="s">
        <v>338</v>
      </c>
      <c r="F351" s="6">
        <v>460</v>
      </c>
      <c r="G351" s="6">
        <v>243</v>
      </c>
      <c r="H351" s="6">
        <v>217</v>
      </c>
      <c r="I351" s="17">
        <f t="shared" si="10"/>
        <v>893.00411522633749</v>
      </c>
      <c r="J351" s="15">
        <f t="shared" si="11"/>
        <v>2</v>
      </c>
    </row>
    <row r="352" spans="1:10">
      <c r="A352" s="16">
        <v>341</v>
      </c>
      <c r="B352" s="3">
        <v>26</v>
      </c>
      <c r="C352" s="4" t="s">
        <v>363</v>
      </c>
      <c r="D352" s="9" t="s">
        <v>441</v>
      </c>
      <c r="E352" s="5" t="s">
        <v>338</v>
      </c>
      <c r="F352" s="6">
        <v>314</v>
      </c>
      <c r="G352" s="6">
        <v>160</v>
      </c>
      <c r="H352" s="6">
        <v>154</v>
      </c>
      <c r="I352" s="17">
        <f t="shared" si="10"/>
        <v>962.5</v>
      </c>
      <c r="J352" s="15">
        <f t="shared" si="11"/>
        <v>1</v>
      </c>
    </row>
    <row r="353" spans="1:10">
      <c r="A353" s="16">
        <v>342</v>
      </c>
      <c r="B353" s="3">
        <v>27</v>
      </c>
      <c r="C353" s="4" t="s">
        <v>364</v>
      </c>
      <c r="D353" s="9" t="s">
        <v>441</v>
      </c>
      <c r="E353" s="5" t="s">
        <v>338</v>
      </c>
      <c r="F353" s="6">
        <v>1885</v>
      </c>
      <c r="G353" s="6">
        <v>983</v>
      </c>
      <c r="H353" s="6">
        <v>902</v>
      </c>
      <c r="I353" s="17">
        <f t="shared" si="10"/>
        <v>917.59918616480161</v>
      </c>
      <c r="J353" s="15">
        <f t="shared" si="11"/>
        <v>1</v>
      </c>
    </row>
    <row r="354" spans="1:10">
      <c r="A354" s="16">
        <v>343</v>
      </c>
      <c r="B354" s="3">
        <v>28</v>
      </c>
      <c r="C354" s="4" t="s">
        <v>365</v>
      </c>
      <c r="D354" s="9" t="s">
        <v>441</v>
      </c>
      <c r="E354" s="5" t="s">
        <v>338</v>
      </c>
      <c r="F354" s="6">
        <v>1420</v>
      </c>
      <c r="G354" s="6">
        <v>723</v>
      </c>
      <c r="H354" s="6">
        <v>697</v>
      </c>
      <c r="I354" s="17">
        <f t="shared" si="10"/>
        <v>964.03872752420477</v>
      </c>
      <c r="J354" s="15">
        <f t="shared" si="11"/>
        <v>1</v>
      </c>
    </row>
    <row r="355" spans="1:10">
      <c r="A355" s="16">
        <v>344</v>
      </c>
      <c r="B355" s="3">
        <v>29</v>
      </c>
      <c r="C355" s="4" t="s">
        <v>366</v>
      </c>
      <c r="D355" s="9" t="s">
        <v>441</v>
      </c>
      <c r="E355" s="5" t="s">
        <v>338</v>
      </c>
      <c r="F355" s="6">
        <v>1439</v>
      </c>
      <c r="G355" s="6">
        <v>752</v>
      </c>
      <c r="H355" s="6">
        <v>687</v>
      </c>
      <c r="I355" s="17">
        <f t="shared" si="10"/>
        <v>913.563829787234</v>
      </c>
      <c r="J355" s="15">
        <f t="shared" si="11"/>
        <v>1</v>
      </c>
    </row>
    <row r="356" spans="1:10">
      <c r="A356" s="16">
        <v>345</v>
      </c>
      <c r="B356" s="3">
        <v>30</v>
      </c>
      <c r="C356" s="4" t="s">
        <v>367</v>
      </c>
      <c r="D356" s="9" t="s">
        <v>441</v>
      </c>
      <c r="E356" s="5" t="s">
        <v>338</v>
      </c>
      <c r="F356" s="6">
        <v>1657</v>
      </c>
      <c r="G356" s="6">
        <v>856</v>
      </c>
      <c r="H356" s="6">
        <v>801</v>
      </c>
      <c r="I356" s="17">
        <f t="shared" si="10"/>
        <v>935.74766355140184</v>
      </c>
      <c r="J356" s="15">
        <f t="shared" si="11"/>
        <v>1</v>
      </c>
    </row>
    <row r="357" spans="1:10">
      <c r="A357" s="16">
        <v>346</v>
      </c>
      <c r="B357" s="3">
        <v>31</v>
      </c>
      <c r="C357" s="4" t="s">
        <v>368</v>
      </c>
      <c r="D357" s="9" t="s">
        <v>441</v>
      </c>
      <c r="E357" s="5" t="s">
        <v>338</v>
      </c>
      <c r="F357" s="6">
        <v>2039</v>
      </c>
      <c r="G357" s="6">
        <v>1070</v>
      </c>
      <c r="H357" s="6">
        <v>969</v>
      </c>
      <c r="I357" s="17">
        <f t="shared" si="10"/>
        <v>905.60747663551399</v>
      </c>
      <c r="J357" s="15">
        <f t="shared" si="11"/>
        <v>1</v>
      </c>
    </row>
    <row r="358" spans="1:10">
      <c r="A358" s="16">
        <v>347</v>
      </c>
      <c r="B358" s="3">
        <v>32</v>
      </c>
      <c r="C358" s="4" t="s">
        <v>369</v>
      </c>
      <c r="D358" s="9" t="s">
        <v>441</v>
      </c>
      <c r="E358" s="5" t="s">
        <v>338</v>
      </c>
      <c r="F358" s="6">
        <v>70</v>
      </c>
      <c r="G358" s="6">
        <v>39</v>
      </c>
      <c r="H358" s="6">
        <v>31</v>
      </c>
      <c r="I358" s="17">
        <f t="shared" si="10"/>
        <v>794.8717948717948</v>
      </c>
      <c r="J358" s="15">
        <f t="shared" si="11"/>
        <v>3</v>
      </c>
    </row>
    <row r="359" spans="1:10">
      <c r="A359" s="16">
        <v>348</v>
      </c>
      <c r="B359" s="3">
        <v>33</v>
      </c>
      <c r="C359" s="4" t="s">
        <v>370</v>
      </c>
      <c r="D359" s="9" t="s">
        <v>441</v>
      </c>
      <c r="E359" s="5" t="s">
        <v>338</v>
      </c>
      <c r="F359" s="6">
        <v>801</v>
      </c>
      <c r="G359" s="6">
        <v>412</v>
      </c>
      <c r="H359" s="6">
        <v>389</v>
      </c>
      <c r="I359" s="17">
        <f t="shared" si="10"/>
        <v>944.17475728155341</v>
      </c>
      <c r="J359" s="15">
        <f t="shared" si="11"/>
        <v>1</v>
      </c>
    </row>
    <row r="360" spans="1:10">
      <c r="A360" s="16">
        <v>349</v>
      </c>
      <c r="B360" s="3">
        <v>34</v>
      </c>
      <c r="C360" s="4" t="s">
        <v>371</v>
      </c>
      <c r="D360" s="9" t="s">
        <v>441</v>
      </c>
      <c r="E360" s="5" t="s">
        <v>338</v>
      </c>
      <c r="F360" s="6">
        <v>1552</v>
      </c>
      <c r="G360" s="6">
        <v>806</v>
      </c>
      <c r="H360" s="6">
        <v>746</v>
      </c>
      <c r="I360" s="17">
        <f t="shared" si="10"/>
        <v>925.55831265508687</v>
      </c>
      <c r="J360" s="15">
        <f t="shared" si="11"/>
        <v>1</v>
      </c>
    </row>
    <row r="361" spans="1:10">
      <c r="A361" s="16">
        <v>350</v>
      </c>
      <c r="B361" s="3">
        <v>35</v>
      </c>
      <c r="C361" s="4" t="s">
        <v>372</v>
      </c>
      <c r="D361" s="9" t="s">
        <v>441</v>
      </c>
      <c r="E361" s="5" t="s">
        <v>338</v>
      </c>
      <c r="F361" s="6">
        <v>567</v>
      </c>
      <c r="G361" s="6">
        <v>315</v>
      </c>
      <c r="H361" s="6">
        <v>252</v>
      </c>
      <c r="I361" s="17">
        <f t="shared" si="10"/>
        <v>800</v>
      </c>
      <c r="J361" s="15">
        <f t="shared" si="11"/>
        <v>3</v>
      </c>
    </row>
    <row r="362" spans="1:10">
      <c r="A362" s="16">
        <v>351</v>
      </c>
      <c r="B362" s="3">
        <v>36</v>
      </c>
      <c r="C362" s="4" t="s">
        <v>373</v>
      </c>
      <c r="D362" s="9" t="s">
        <v>441</v>
      </c>
      <c r="E362" s="5" t="s">
        <v>338</v>
      </c>
      <c r="F362" s="6">
        <v>1284</v>
      </c>
      <c r="G362" s="6">
        <v>660</v>
      </c>
      <c r="H362" s="6">
        <v>624</v>
      </c>
      <c r="I362" s="17">
        <f t="shared" si="10"/>
        <v>945.45454545454538</v>
      </c>
      <c r="J362" s="15">
        <f t="shared" si="11"/>
        <v>1</v>
      </c>
    </row>
    <row r="363" spans="1:10">
      <c r="A363" s="16">
        <v>352</v>
      </c>
      <c r="B363" s="3">
        <v>37</v>
      </c>
      <c r="C363" s="4" t="s">
        <v>374</v>
      </c>
      <c r="D363" s="9" t="s">
        <v>441</v>
      </c>
      <c r="E363" s="5" t="s">
        <v>338</v>
      </c>
      <c r="F363" s="6">
        <v>3762</v>
      </c>
      <c r="G363" s="6">
        <v>1973</v>
      </c>
      <c r="H363" s="6">
        <v>1789</v>
      </c>
      <c r="I363" s="17">
        <f t="shared" si="10"/>
        <v>906.74100354789653</v>
      </c>
      <c r="J363" s="15">
        <f t="shared" si="11"/>
        <v>1</v>
      </c>
    </row>
    <row r="364" spans="1:10">
      <c r="A364" s="16">
        <v>353</v>
      </c>
      <c r="B364" s="3">
        <v>38</v>
      </c>
      <c r="C364" s="4" t="s">
        <v>375</v>
      </c>
      <c r="D364" s="9" t="s">
        <v>441</v>
      </c>
      <c r="E364" s="5" t="s">
        <v>338</v>
      </c>
      <c r="F364" s="6">
        <v>547</v>
      </c>
      <c r="G364" s="6">
        <v>291</v>
      </c>
      <c r="H364" s="6">
        <v>256</v>
      </c>
      <c r="I364" s="17">
        <f t="shared" si="10"/>
        <v>879.72508591065287</v>
      </c>
      <c r="J364" s="15">
        <f t="shared" si="11"/>
        <v>2</v>
      </c>
    </row>
    <row r="365" spans="1:10">
      <c r="A365" s="16">
        <v>354</v>
      </c>
      <c r="B365" s="3">
        <v>39</v>
      </c>
      <c r="C365" s="4" t="s">
        <v>376</v>
      </c>
      <c r="D365" s="9" t="s">
        <v>441</v>
      </c>
      <c r="E365" s="5" t="s">
        <v>338</v>
      </c>
      <c r="F365" s="6">
        <v>645</v>
      </c>
      <c r="G365" s="6">
        <v>345</v>
      </c>
      <c r="H365" s="6">
        <v>300</v>
      </c>
      <c r="I365" s="17">
        <f t="shared" si="10"/>
        <v>869.56521739130437</v>
      </c>
      <c r="J365" s="15">
        <f t="shared" si="11"/>
        <v>2</v>
      </c>
    </row>
    <row r="366" spans="1:10">
      <c r="A366" s="16">
        <v>355</v>
      </c>
      <c r="B366" s="3">
        <v>40</v>
      </c>
      <c r="C366" s="4" t="s">
        <v>377</v>
      </c>
      <c r="D366" s="9" t="s">
        <v>441</v>
      </c>
      <c r="E366" s="5" t="s">
        <v>338</v>
      </c>
      <c r="F366" s="6">
        <v>442</v>
      </c>
      <c r="G366" s="6">
        <v>230</v>
      </c>
      <c r="H366" s="6">
        <v>212</v>
      </c>
      <c r="I366" s="17">
        <f t="shared" si="10"/>
        <v>921.73913043478262</v>
      </c>
      <c r="J366" s="15">
        <f t="shared" si="11"/>
        <v>1</v>
      </c>
    </row>
    <row r="367" spans="1:10">
      <c r="A367" s="16">
        <v>356</v>
      </c>
      <c r="B367" s="3">
        <v>41</v>
      </c>
      <c r="C367" s="4" t="s">
        <v>378</v>
      </c>
      <c r="D367" s="9" t="s">
        <v>441</v>
      </c>
      <c r="E367" s="5" t="s">
        <v>338</v>
      </c>
      <c r="F367" s="6">
        <v>2832</v>
      </c>
      <c r="G367" s="6">
        <v>1503</v>
      </c>
      <c r="H367" s="6">
        <v>1329</v>
      </c>
      <c r="I367" s="17">
        <f t="shared" si="10"/>
        <v>884.23153692614778</v>
      </c>
      <c r="J367" s="15">
        <f t="shared" si="11"/>
        <v>2</v>
      </c>
    </row>
    <row r="368" spans="1:10">
      <c r="A368" s="16">
        <v>357</v>
      </c>
      <c r="B368" s="3">
        <v>42</v>
      </c>
      <c r="C368" s="4" t="s">
        <v>379</v>
      </c>
      <c r="D368" s="9" t="s">
        <v>441</v>
      </c>
      <c r="E368" s="5" t="s">
        <v>338</v>
      </c>
      <c r="F368" s="6">
        <v>1254</v>
      </c>
      <c r="G368" s="6">
        <v>692</v>
      </c>
      <c r="H368" s="6">
        <v>562</v>
      </c>
      <c r="I368" s="17">
        <f t="shared" si="10"/>
        <v>812.13872832369941</v>
      </c>
      <c r="J368" s="15">
        <f t="shared" si="11"/>
        <v>2</v>
      </c>
    </row>
    <row r="369" spans="1:10">
      <c r="A369" s="16">
        <v>358</v>
      </c>
      <c r="B369" s="3">
        <v>43</v>
      </c>
      <c r="C369" s="4" t="s">
        <v>380</v>
      </c>
      <c r="D369" s="9" t="s">
        <v>441</v>
      </c>
      <c r="E369" s="5" t="s">
        <v>338</v>
      </c>
      <c r="F369" s="6">
        <v>864</v>
      </c>
      <c r="G369" s="6">
        <v>447</v>
      </c>
      <c r="H369" s="6">
        <v>417</v>
      </c>
      <c r="I369" s="17">
        <f t="shared" si="10"/>
        <v>932.88590604026842</v>
      </c>
      <c r="J369" s="15">
        <f t="shared" si="11"/>
        <v>1</v>
      </c>
    </row>
    <row r="370" spans="1:10">
      <c r="A370" s="16">
        <v>359</v>
      </c>
      <c r="B370" s="3">
        <v>44</v>
      </c>
      <c r="C370" s="4" t="s">
        <v>381</v>
      </c>
      <c r="D370" s="9" t="s">
        <v>441</v>
      </c>
      <c r="E370" s="5" t="s">
        <v>338</v>
      </c>
      <c r="F370" s="6">
        <v>833</v>
      </c>
      <c r="G370" s="6">
        <v>444</v>
      </c>
      <c r="H370" s="6">
        <v>389</v>
      </c>
      <c r="I370" s="17">
        <f t="shared" si="10"/>
        <v>876.12612612612622</v>
      </c>
      <c r="J370" s="15">
        <f t="shared" si="11"/>
        <v>2</v>
      </c>
    </row>
    <row r="371" spans="1:10">
      <c r="A371" s="16">
        <v>360</v>
      </c>
      <c r="B371" s="3">
        <v>45</v>
      </c>
      <c r="C371" s="4" t="s">
        <v>382</v>
      </c>
      <c r="D371" s="9" t="s">
        <v>441</v>
      </c>
      <c r="E371" s="5" t="s">
        <v>338</v>
      </c>
      <c r="F371" s="6">
        <v>1227</v>
      </c>
      <c r="G371" s="6">
        <v>648</v>
      </c>
      <c r="H371" s="6">
        <v>579</v>
      </c>
      <c r="I371" s="17">
        <f t="shared" si="10"/>
        <v>893.51851851851848</v>
      </c>
      <c r="J371" s="15">
        <f t="shared" si="11"/>
        <v>2</v>
      </c>
    </row>
    <row r="372" spans="1:10">
      <c r="A372" s="16">
        <v>361</v>
      </c>
      <c r="B372" s="3">
        <v>46</v>
      </c>
      <c r="C372" s="4" t="s">
        <v>383</v>
      </c>
      <c r="D372" s="9" t="s">
        <v>441</v>
      </c>
      <c r="E372" s="5" t="s">
        <v>338</v>
      </c>
      <c r="F372" s="6">
        <v>1464</v>
      </c>
      <c r="G372" s="6">
        <v>785</v>
      </c>
      <c r="H372" s="6">
        <v>679</v>
      </c>
      <c r="I372" s="17">
        <f t="shared" si="10"/>
        <v>864.96815286624212</v>
      </c>
      <c r="J372" s="15">
        <f t="shared" si="11"/>
        <v>2</v>
      </c>
    </row>
    <row r="373" spans="1:10">
      <c r="A373" s="16">
        <v>362</v>
      </c>
      <c r="B373" s="3">
        <v>47</v>
      </c>
      <c r="C373" s="4" t="s">
        <v>384</v>
      </c>
      <c r="D373" s="9" t="s">
        <v>441</v>
      </c>
      <c r="E373" s="5" t="s">
        <v>338</v>
      </c>
      <c r="F373" s="6">
        <v>4333</v>
      </c>
      <c r="G373" s="6">
        <v>2318</v>
      </c>
      <c r="H373" s="6">
        <v>2015</v>
      </c>
      <c r="I373" s="17">
        <f t="shared" si="10"/>
        <v>869.28386540120789</v>
      </c>
      <c r="J373" s="15">
        <f t="shared" si="11"/>
        <v>2</v>
      </c>
    </row>
    <row r="374" spans="1:10">
      <c r="A374" s="16">
        <v>363</v>
      </c>
      <c r="B374" s="3">
        <v>48</v>
      </c>
      <c r="C374" s="4" t="s">
        <v>385</v>
      </c>
      <c r="D374" s="9" t="s">
        <v>441</v>
      </c>
      <c r="E374" s="5" t="s">
        <v>338</v>
      </c>
      <c r="F374" s="6">
        <v>6466</v>
      </c>
      <c r="G374" s="6">
        <v>3420</v>
      </c>
      <c r="H374" s="6">
        <v>3046</v>
      </c>
      <c r="I374" s="17">
        <f t="shared" si="10"/>
        <v>890.64327485380113</v>
      </c>
      <c r="J374" s="15">
        <f t="shared" si="11"/>
        <v>2</v>
      </c>
    </row>
    <row r="375" spans="1:10">
      <c r="A375" s="16">
        <v>364</v>
      </c>
      <c r="B375" s="3">
        <v>1</v>
      </c>
      <c r="C375" s="4" t="s">
        <v>386</v>
      </c>
      <c r="D375" s="9" t="s">
        <v>441</v>
      </c>
      <c r="E375" s="5" t="s">
        <v>387</v>
      </c>
      <c r="F375" s="6">
        <v>1066</v>
      </c>
      <c r="G375" s="6">
        <v>561</v>
      </c>
      <c r="H375" s="6">
        <v>505</v>
      </c>
      <c r="I375" s="17">
        <f t="shared" si="10"/>
        <v>900.17825311942954</v>
      </c>
      <c r="J375" s="15">
        <f t="shared" si="11"/>
        <v>1</v>
      </c>
    </row>
    <row r="376" spans="1:10">
      <c r="A376" s="16">
        <v>365</v>
      </c>
      <c r="B376" s="3">
        <v>2</v>
      </c>
      <c r="C376" s="4" t="s">
        <v>388</v>
      </c>
      <c r="D376" s="9" t="s">
        <v>441</v>
      </c>
      <c r="E376" s="5" t="s">
        <v>387</v>
      </c>
      <c r="F376" s="6">
        <v>1982</v>
      </c>
      <c r="G376" s="6">
        <v>1061</v>
      </c>
      <c r="H376" s="6">
        <v>921</v>
      </c>
      <c r="I376" s="17">
        <f t="shared" si="10"/>
        <v>868.04901036757781</v>
      </c>
      <c r="J376" s="15">
        <f t="shared" si="11"/>
        <v>2</v>
      </c>
    </row>
    <row r="377" spans="1:10">
      <c r="A377" s="16">
        <v>366</v>
      </c>
      <c r="B377" s="3">
        <v>3</v>
      </c>
      <c r="C377" s="4" t="s">
        <v>389</v>
      </c>
      <c r="D377" s="9" t="s">
        <v>441</v>
      </c>
      <c r="E377" s="5" t="s">
        <v>387</v>
      </c>
      <c r="F377" s="6">
        <v>436</v>
      </c>
      <c r="G377" s="6">
        <v>221</v>
      </c>
      <c r="H377" s="6">
        <v>215</v>
      </c>
      <c r="I377" s="17">
        <f t="shared" si="10"/>
        <v>972.85067873303171</v>
      </c>
      <c r="J377" s="15">
        <f t="shared" si="11"/>
        <v>1</v>
      </c>
    </row>
    <row r="378" spans="1:10">
      <c r="A378" s="16">
        <v>367</v>
      </c>
      <c r="B378" s="3">
        <v>4</v>
      </c>
      <c r="C378" s="4" t="s">
        <v>390</v>
      </c>
      <c r="D378" s="9" t="s">
        <v>441</v>
      </c>
      <c r="E378" s="5" t="s">
        <v>387</v>
      </c>
      <c r="F378" s="6">
        <v>1670</v>
      </c>
      <c r="G378" s="6">
        <v>852</v>
      </c>
      <c r="H378" s="6">
        <v>818</v>
      </c>
      <c r="I378" s="17">
        <f t="shared" si="10"/>
        <v>960.09389671361498</v>
      </c>
      <c r="J378" s="15">
        <f t="shared" si="11"/>
        <v>1</v>
      </c>
    </row>
    <row r="379" spans="1:10">
      <c r="A379" s="16">
        <v>368</v>
      </c>
      <c r="B379" s="3">
        <v>5</v>
      </c>
      <c r="C379" s="4" t="s">
        <v>391</v>
      </c>
      <c r="D379" s="9" t="s">
        <v>441</v>
      </c>
      <c r="E379" s="5" t="s">
        <v>387</v>
      </c>
      <c r="F379" s="6">
        <v>19</v>
      </c>
      <c r="G379" s="6">
        <v>14</v>
      </c>
      <c r="H379" s="6">
        <v>5</v>
      </c>
      <c r="I379" s="17">
        <f t="shared" si="10"/>
        <v>357.14285714285717</v>
      </c>
      <c r="J379" s="15">
        <f t="shared" si="11"/>
        <v>0</v>
      </c>
    </row>
    <row r="380" spans="1:10">
      <c r="A380" s="16">
        <v>369</v>
      </c>
      <c r="B380" s="3">
        <v>6</v>
      </c>
      <c r="C380" s="4" t="s">
        <v>392</v>
      </c>
      <c r="D380" s="9" t="s">
        <v>441</v>
      </c>
      <c r="E380" s="5" t="s">
        <v>387</v>
      </c>
      <c r="F380" s="6">
        <v>1994</v>
      </c>
      <c r="G380" s="6">
        <v>1037</v>
      </c>
      <c r="H380" s="6">
        <v>957</v>
      </c>
      <c r="I380" s="17">
        <f t="shared" si="10"/>
        <v>922.85438765670199</v>
      </c>
      <c r="J380" s="15">
        <f t="shared" si="11"/>
        <v>1</v>
      </c>
    </row>
    <row r="381" spans="1:10">
      <c r="A381" s="16">
        <v>370</v>
      </c>
      <c r="B381" s="3">
        <v>7</v>
      </c>
      <c r="C381" s="4" t="s">
        <v>393</v>
      </c>
      <c r="D381" s="9" t="s">
        <v>441</v>
      </c>
      <c r="E381" s="5" t="s">
        <v>387</v>
      </c>
      <c r="F381" s="6">
        <v>2082</v>
      </c>
      <c r="G381" s="6">
        <v>1074</v>
      </c>
      <c r="H381" s="6">
        <v>1008</v>
      </c>
      <c r="I381" s="17">
        <f t="shared" si="10"/>
        <v>938.54748603351959</v>
      </c>
      <c r="J381" s="15">
        <f t="shared" si="11"/>
        <v>1</v>
      </c>
    </row>
    <row r="382" spans="1:10">
      <c r="A382" s="16">
        <v>371</v>
      </c>
      <c r="B382" s="3">
        <v>8</v>
      </c>
      <c r="C382" s="4" t="s">
        <v>394</v>
      </c>
      <c r="D382" s="9" t="s">
        <v>441</v>
      </c>
      <c r="E382" s="5" t="s">
        <v>387</v>
      </c>
      <c r="F382" s="6">
        <v>5370</v>
      </c>
      <c r="G382" s="6">
        <v>2972</v>
      </c>
      <c r="H382" s="6">
        <v>2398</v>
      </c>
      <c r="I382" s="17">
        <f t="shared" si="10"/>
        <v>806.86406460296098</v>
      </c>
      <c r="J382" s="15">
        <f t="shared" si="11"/>
        <v>2</v>
      </c>
    </row>
    <row r="383" spans="1:10">
      <c r="A383" s="16">
        <v>372</v>
      </c>
      <c r="B383" s="3">
        <v>9</v>
      </c>
      <c r="C383" s="4" t="s">
        <v>395</v>
      </c>
      <c r="D383" s="9" t="s">
        <v>441</v>
      </c>
      <c r="E383" s="5" t="s">
        <v>387</v>
      </c>
      <c r="F383" s="6">
        <v>885</v>
      </c>
      <c r="G383" s="6">
        <v>454</v>
      </c>
      <c r="H383" s="6">
        <v>431</v>
      </c>
      <c r="I383" s="17">
        <f t="shared" si="10"/>
        <v>949.33920704845821</v>
      </c>
      <c r="J383" s="15">
        <f t="shared" si="11"/>
        <v>1</v>
      </c>
    </row>
    <row r="384" spans="1:10">
      <c r="A384" s="16">
        <v>373</v>
      </c>
      <c r="B384" s="3">
        <v>10</v>
      </c>
      <c r="C384" s="4" t="s">
        <v>396</v>
      </c>
      <c r="D384" s="9" t="s">
        <v>441</v>
      </c>
      <c r="E384" s="5" t="s">
        <v>387</v>
      </c>
      <c r="F384" s="6">
        <v>1809</v>
      </c>
      <c r="G384" s="6">
        <v>972</v>
      </c>
      <c r="H384" s="6">
        <v>837</v>
      </c>
      <c r="I384" s="17">
        <f t="shared" si="10"/>
        <v>861.1111111111112</v>
      </c>
      <c r="J384" s="15">
        <f t="shared" si="11"/>
        <v>2</v>
      </c>
    </row>
    <row r="385" spans="1:10">
      <c r="A385" s="16">
        <v>374</v>
      </c>
      <c r="B385" s="3">
        <v>11</v>
      </c>
      <c r="C385" s="4" t="s">
        <v>397</v>
      </c>
      <c r="D385" s="9" t="s">
        <v>441</v>
      </c>
      <c r="E385" s="5" t="s">
        <v>387</v>
      </c>
      <c r="F385" s="6">
        <v>553</v>
      </c>
      <c r="G385" s="6">
        <v>291</v>
      </c>
      <c r="H385" s="6">
        <v>262</v>
      </c>
      <c r="I385" s="17">
        <f t="shared" si="10"/>
        <v>900.34364261168389</v>
      </c>
      <c r="J385" s="15">
        <f t="shared" si="11"/>
        <v>1</v>
      </c>
    </row>
    <row r="386" spans="1:10">
      <c r="A386" s="16">
        <v>375</v>
      </c>
      <c r="B386" s="3">
        <v>12</v>
      </c>
      <c r="C386" s="4" t="s">
        <v>398</v>
      </c>
      <c r="D386" s="9" t="s">
        <v>441</v>
      </c>
      <c r="E386" s="5" t="s">
        <v>387</v>
      </c>
      <c r="F386" s="6">
        <v>1086</v>
      </c>
      <c r="G386" s="6">
        <v>558</v>
      </c>
      <c r="H386" s="6">
        <v>528</v>
      </c>
      <c r="I386" s="17">
        <f t="shared" si="10"/>
        <v>946.23655913978496</v>
      </c>
      <c r="J386" s="15">
        <f t="shared" si="11"/>
        <v>1</v>
      </c>
    </row>
    <row r="387" spans="1:10">
      <c r="A387" s="16">
        <v>376</v>
      </c>
      <c r="B387" s="3">
        <v>13</v>
      </c>
      <c r="C387" s="4" t="s">
        <v>399</v>
      </c>
      <c r="D387" s="9" t="s">
        <v>441</v>
      </c>
      <c r="E387" s="5" t="s">
        <v>387</v>
      </c>
      <c r="F387" s="6">
        <v>1192</v>
      </c>
      <c r="G387" s="6">
        <v>667</v>
      </c>
      <c r="H387" s="6">
        <v>525</v>
      </c>
      <c r="I387" s="17">
        <f t="shared" si="10"/>
        <v>787.10644677661173</v>
      </c>
      <c r="J387" s="15">
        <f t="shared" si="11"/>
        <v>3</v>
      </c>
    </row>
    <row r="388" spans="1:10">
      <c r="A388" s="16">
        <v>377</v>
      </c>
      <c r="B388" s="3">
        <v>14</v>
      </c>
      <c r="C388" s="4" t="s">
        <v>400</v>
      </c>
      <c r="D388" s="9" t="s">
        <v>441</v>
      </c>
      <c r="E388" s="5" t="s">
        <v>387</v>
      </c>
      <c r="F388" s="6">
        <v>1846</v>
      </c>
      <c r="G388" s="6">
        <v>969</v>
      </c>
      <c r="H388" s="6">
        <v>877</v>
      </c>
      <c r="I388" s="17">
        <f t="shared" si="10"/>
        <v>905.05675954592368</v>
      </c>
      <c r="J388" s="15">
        <f t="shared" si="11"/>
        <v>1</v>
      </c>
    </row>
    <row r="389" spans="1:10">
      <c r="A389" s="16">
        <v>378</v>
      </c>
      <c r="B389" s="3">
        <v>15</v>
      </c>
      <c r="C389" s="4" t="s">
        <v>401</v>
      </c>
      <c r="D389" s="9" t="s">
        <v>441</v>
      </c>
      <c r="E389" s="5" t="s">
        <v>387</v>
      </c>
      <c r="F389" s="6">
        <v>1322</v>
      </c>
      <c r="G389" s="6">
        <v>688</v>
      </c>
      <c r="H389" s="6">
        <v>634</v>
      </c>
      <c r="I389" s="17">
        <f t="shared" si="10"/>
        <v>921.51162790697674</v>
      </c>
      <c r="J389" s="15">
        <f t="shared" si="11"/>
        <v>1</v>
      </c>
    </row>
    <row r="390" spans="1:10">
      <c r="A390" s="16">
        <v>379</v>
      </c>
      <c r="B390" s="3">
        <v>16</v>
      </c>
      <c r="C390" s="4" t="s">
        <v>402</v>
      </c>
      <c r="D390" s="9" t="s">
        <v>441</v>
      </c>
      <c r="E390" s="5" t="s">
        <v>387</v>
      </c>
      <c r="F390" s="6">
        <v>2373</v>
      </c>
      <c r="G390" s="6">
        <v>1239</v>
      </c>
      <c r="H390" s="6">
        <v>1134</v>
      </c>
      <c r="I390" s="17">
        <f t="shared" si="10"/>
        <v>915.25423728813564</v>
      </c>
      <c r="J390" s="15">
        <f t="shared" si="11"/>
        <v>1</v>
      </c>
    </row>
    <row r="391" spans="1:10">
      <c r="A391" s="16">
        <v>380</v>
      </c>
      <c r="B391" s="3">
        <v>17</v>
      </c>
      <c r="C391" s="4" t="s">
        <v>403</v>
      </c>
      <c r="D391" s="9" t="s">
        <v>441</v>
      </c>
      <c r="E391" s="5" t="s">
        <v>387</v>
      </c>
      <c r="F391" s="6">
        <v>919</v>
      </c>
      <c r="G391" s="6">
        <v>492</v>
      </c>
      <c r="H391" s="6">
        <v>427</v>
      </c>
      <c r="I391" s="17">
        <f t="shared" si="10"/>
        <v>867.88617886178861</v>
      </c>
      <c r="J391" s="15">
        <f t="shared" si="11"/>
        <v>2</v>
      </c>
    </row>
    <row r="392" spans="1:10">
      <c r="A392" s="16">
        <v>381</v>
      </c>
      <c r="B392" s="3">
        <v>18</v>
      </c>
      <c r="C392" s="4" t="s">
        <v>404</v>
      </c>
      <c r="D392" s="9" t="s">
        <v>441</v>
      </c>
      <c r="E392" s="5" t="s">
        <v>387</v>
      </c>
      <c r="F392" s="6">
        <v>1044</v>
      </c>
      <c r="G392" s="6">
        <v>532</v>
      </c>
      <c r="H392" s="6">
        <v>512</v>
      </c>
      <c r="I392" s="17">
        <f t="shared" si="10"/>
        <v>962.40601503759399</v>
      </c>
      <c r="J392" s="15">
        <f t="shared" si="11"/>
        <v>1</v>
      </c>
    </row>
    <row r="393" spans="1:10">
      <c r="A393" s="16">
        <v>382</v>
      </c>
      <c r="B393" s="3">
        <v>19</v>
      </c>
      <c r="C393" s="4" t="s">
        <v>405</v>
      </c>
      <c r="D393" s="9" t="s">
        <v>441</v>
      </c>
      <c r="E393" s="5" t="s">
        <v>387</v>
      </c>
      <c r="F393" s="6">
        <v>924</v>
      </c>
      <c r="G393" s="6">
        <v>496</v>
      </c>
      <c r="H393" s="6">
        <v>428</v>
      </c>
      <c r="I393" s="17">
        <f t="shared" si="10"/>
        <v>862.90322580645159</v>
      </c>
      <c r="J393" s="15">
        <f t="shared" si="11"/>
        <v>2</v>
      </c>
    </row>
    <row r="394" spans="1:10">
      <c r="A394" s="16">
        <v>383</v>
      </c>
      <c r="B394" s="3">
        <v>20</v>
      </c>
      <c r="C394" s="4" t="s">
        <v>406</v>
      </c>
      <c r="D394" s="9" t="s">
        <v>441</v>
      </c>
      <c r="E394" s="5" t="s">
        <v>387</v>
      </c>
      <c r="F394" s="6">
        <v>1334</v>
      </c>
      <c r="G394" s="6">
        <v>682</v>
      </c>
      <c r="H394" s="6">
        <v>652</v>
      </c>
      <c r="I394" s="17">
        <f t="shared" si="10"/>
        <v>956.01173020527858</v>
      </c>
      <c r="J394" s="15">
        <f t="shared" si="11"/>
        <v>1</v>
      </c>
    </row>
    <row r="395" spans="1:10">
      <c r="A395" s="16">
        <v>384</v>
      </c>
      <c r="B395" s="3">
        <v>21</v>
      </c>
      <c r="C395" s="4" t="s">
        <v>407</v>
      </c>
      <c r="D395" s="9" t="s">
        <v>441</v>
      </c>
      <c r="E395" s="5" t="s">
        <v>387</v>
      </c>
      <c r="F395" s="6">
        <v>1988</v>
      </c>
      <c r="G395" s="6">
        <v>1082</v>
      </c>
      <c r="H395" s="6">
        <v>906</v>
      </c>
      <c r="I395" s="17">
        <f t="shared" si="10"/>
        <v>837.33826247689467</v>
      </c>
      <c r="J395" s="15">
        <f t="shared" si="11"/>
        <v>2</v>
      </c>
    </row>
    <row r="396" spans="1:10">
      <c r="A396" s="16">
        <v>385</v>
      </c>
      <c r="B396" s="3">
        <v>22</v>
      </c>
      <c r="C396" s="4" t="s">
        <v>408</v>
      </c>
      <c r="D396" s="9" t="s">
        <v>441</v>
      </c>
      <c r="E396" s="5" t="s">
        <v>387</v>
      </c>
      <c r="F396" s="6">
        <v>1008</v>
      </c>
      <c r="G396" s="6">
        <v>531</v>
      </c>
      <c r="H396" s="6">
        <v>477</v>
      </c>
      <c r="I396" s="17">
        <f t="shared" si="10"/>
        <v>898.30508474576277</v>
      </c>
      <c r="J396" s="15">
        <f t="shared" si="11"/>
        <v>2</v>
      </c>
    </row>
    <row r="397" spans="1:10">
      <c r="A397" s="16">
        <v>386</v>
      </c>
      <c r="B397" s="3">
        <v>23</v>
      </c>
      <c r="C397" s="4" t="s">
        <v>409</v>
      </c>
      <c r="D397" s="9" t="s">
        <v>441</v>
      </c>
      <c r="E397" s="5" t="s">
        <v>387</v>
      </c>
      <c r="F397" s="6">
        <v>2720</v>
      </c>
      <c r="G397" s="6">
        <v>1441</v>
      </c>
      <c r="H397" s="6">
        <v>1279</v>
      </c>
      <c r="I397" s="17">
        <f t="shared" ref="I397:I426" si="12">H397/G397*1000</f>
        <v>887.57807078417761</v>
      </c>
      <c r="J397" s="15">
        <f t="shared" ref="J397:J426" si="13">IF($I397&gt;900,1,IF($I397&gt;800,2,IF($I397&gt;700,3,0)))</f>
        <v>2</v>
      </c>
    </row>
    <row r="398" spans="1:10">
      <c r="A398" s="16">
        <v>387</v>
      </c>
      <c r="B398" s="3">
        <v>24</v>
      </c>
      <c r="C398" s="4" t="s">
        <v>410</v>
      </c>
      <c r="D398" s="9" t="s">
        <v>441</v>
      </c>
      <c r="E398" s="5" t="s">
        <v>387</v>
      </c>
      <c r="F398" s="6">
        <v>1010</v>
      </c>
      <c r="G398" s="6">
        <v>532</v>
      </c>
      <c r="H398" s="6">
        <v>478</v>
      </c>
      <c r="I398" s="17">
        <f t="shared" si="12"/>
        <v>898.49624060150381</v>
      </c>
      <c r="J398" s="15">
        <f t="shared" si="13"/>
        <v>2</v>
      </c>
    </row>
    <row r="399" spans="1:10">
      <c r="A399" s="16">
        <v>388</v>
      </c>
      <c r="B399" s="3">
        <v>25</v>
      </c>
      <c r="C399" s="4" t="s">
        <v>411</v>
      </c>
      <c r="D399" s="9" t="s">
        <v>441</v>
      </c>
      <c r="E399" s="5" t="s">
        <v>387</v>
      </c>
      <c r="F399" s="6">
        <v>1749</v>
      </c>
      <c r="G399" s="6">
        <v>931</v>
      </c>
      <c r="H399" s="6">
        <v>818</v>
      </c>
      <c r="I399" s="17">
        <f t="shared" si="12"/>
        <v>878.62513426423209</v>
      </c>
      <c r="J399" s="15">
        <f t="shared" si="13"/>
        <v>2</v>
      </c>
    </row>
    <row r="400" spans="1:10">
      <c r="A400" s="16">
        <v>389</v>
      </c>
      <c r="B400" s="3">
        <v>26</v>
      </c>
      <c r="C400" s="4" t="s">
        <v>412</v>
      </c>
      <c r="D400" s="9" t="s">
        <v>441</v>
      </c>
      <c r="E400" s="5" t="s">
        <v>387</v>
      </c>
      <c r="F400" s="6">
        <v>2370</v>
      </c>
      <c r="G400" s="6">
        <v>1294</v>
      </c>
      <c r="H400" s="6">
        <v>1076</v>
      </c>
      <c r="I400" s="17">
        <f t="shared" si="12"/>
        <v>831.53013910355492</v>
      </c>
      <c r="J400" s="15">
        <f t="shared" si="13"/>
        <v>2</v>
      </c>
    </row>
    <row r="401" spans="1:10">
      <c r="A401" s="16">
        <v>390</v>
      </c>
      <c r="B401" s="3">
        <v>27</v>
      </c>
      <c r="C401" s="4" t="s">
        <v>413</v>
      </c>
      <c r="D401" s="9" t="s">
        <v>441</v>
      </c>
      <c r="E401" s="5" t="s">
        <v>387</v>
      </c>
      <c r="F401" s="6">
        <v>787</v>
      </c>
      <c r="G401" s="6">
        <v>438</v>
      </c>
      <c r="H401" s="6">
        <v>349</v>
      </c>
      <c r="I401" s="17">
        <f t="shared" si="12"/>
        <v>796.80365296803654</v>
      </c>
      <c r="J401" s="15">
        <f t="shared" si="13"/>
        <v>3</v>
      </c>
    </row>
    <row r="402" spans="1:10">
      <c r="A402" s="16">
        <v>391</v>
      </c>
      <c r="B402" s="3">
        <v>28</v>
      </c>
      <c r="C402" s="4" t="s">
        <v>414</v>
      </c>
      <c r="D402" s="9" t="s">
        <v>441</v>
      </c>
      <c r="E402" s="5" t="s">
        <v>387</v>
      </c>
      <c r="F402" s="6">
        <v>3536</v>
      </c>
      <c r="G402" s="6">
        <v>1869</v>
      </c>
      <c r="H402" s="6">
        <v>1667</v>
      </c>
      <c r="I402" s="17">
        <f t="shared" si="12"/>
        <v>891.92081326912785</v>
      </c>
      <c r="J402" s="15">
        <f t="shared" si="13"/>
        <v>2</v>
      </c>
    </row>
    <row r="403" spans="1:10">
      <c r="A403" s="16">
        <v>392</v>
      </c>
      <c r="B403" s="3">
        <v>29</v>
      </c>
      <c r="C403" s="4" t="s">
        <v>415</v>
      </c>
      <c r="D403" s="9" t="s">
        <v>441</v>
      </c>
      <c r="E403" s="5" t="s">
        <v>387</v>
      </c>
      <c r="F403" s="6">
        <v>789</v>
      </c>
      <c r="G403" s="6">
        <v>401</v>
      </c>
      <c r="H403" s="6">
        <v>388</v>
      </c>
      <c r="I403" s="17">
        <f t="shared" si="12"/>
        <v>967.58104738154611</v>
      </c>
      <c r="J403" s="15">
        <f t="shared" si="13"/>
        <v>1</v>
      </c>
    </row>
    <row r="404" spans="1:10">
      <c r="A404" s="16">
        <v>393</v>
      </c>
      <c r="B404" s="3">
        <v>30</v>
      </c>
      <c r="C404" s="4" t="s">
        <v>416</v>
      </c>
      <c r="D404" s="9" t="s">
        <v>441</v>
      </c>
      <c r="E404" s="5" t="s">
        <v>387</v>
      </c>
      <c r="F404" s="6">
        <v>1121</v>
      </c>
      <c r="G404" s="6">
        <v>569</v>
      </c>
      <c r="H404" s="6">
        <v>552</v>
      </c>
      <c r="I404" s="17">
        <f t="shared" si="12"/>
        <v>970.12302284710017</v>
      </c>
      <c r="J404" s="15">
        <f t="shared" si="13"/>
        <v>1</v>
      </c>
    </row>
    <row r="405" spans="1:10">
      <c r="A405" s="16">
        <v>394</v>
      </c>
      <c r="B405" s="3">
        <v>31</v>
      </c>
      <c r="C405" s="4" t="s">
        <v>417</v>
      </c>
      <c r="D405" s="9" t="s">
        <v>441</v>
      </c>
      <c r="E405" s="5" t="s">
        <v>387</v>
      </c>
      <c r="F405" s="6">
        <v>7630</v>
      </c>
      <c r="G405" s="6">
        <v>4003</v>
      </c>
      <c r="H405" s="6">
        <v>3627</v>
      </c>
      <c r="I405" s="17">
        <f t="shared" si="12"/>
        <v>906.07044716462644</v>
      </c>
      <c r="J405" s="15">
        <f t="shared" si="13"/>
        <v>1</v>
      </c>
    </row>
    <row r="406" spans="1:10">
      <c r="A406" s="16">
        <v>395</v>
      </c>
      <c r="B406" s="3">
        <v>32</v>
      </c>
      <c r="C406" s="4" t="s">
        <v>418</v>
      </c>
      <c r="D406" s="9" t="s">
        <v>441</v>
      </c>
      <c r="E406" s="5" t="s">
        <v>387</v>
      </c>
      <c r="F406" s="6">
        <v>1666</v>
      </c>
      <c r="G406" s="6">
        <v>872</v>
      </c>
      <c r="H406" s="6">
        <v>794</v>
      </c>
      <c r="I406" s="17">
        <f t="shared" si="12"/>
        <v>910.55045871559639</v>
      </c>
      <c r="J406" s="15">
        <f t="shared" si="13"/>
        <v>1</v>
      </c>
    </row>
    <row r="407" spans="1:10">
      <c r="A407" s="16">
        <v>396</v>
      </c>
      <c r="B407" s="3">
        <v>33</v>
      </c>
      <c r="C407" s="4" t="s">
        <v>419</v>
      </c>
      <c r="D407" s="9" t="s">
        <v>441</v>
      </c>
      <c r="E407" s="5" t="s">
        <v>387</v>
      </c>
      <c r="F407" s="6">
        <v>843</v>
      </c>
      <c r="G407" s="6">
        <v>453</v>
      </c>
      <c r="H407" s="6">
        <v>390</v>
      </c>
      <c r="I407" s="17">
        <f t="shared" si="12"/>
        <v>860.92715231788077</v>
      </c>
      <c r="J407" s="15">
        <f t="shared" si="13"/>
        <v>2</v>
      </c>
    </row>
    <row r="408" spans="1:10">
      <c r="A408" s="16">
        <v>397</v>
      </c>
      <c r="B408" s="3">
        <v>34</v>
      </c>
      <c r="C408" s="4" t="s">
        <v>420</v>
      </c>
      <c r="D408" s="9" t="s">
        <v>441</v>
      </c>
      <c r="E408" s="5" t="s">
        <v>387</v>
      </c>
      <c r="F408" s="6">
        <v>987</v>
      </c>
      <c r="G408" s="6">
        <v>534</v>
      </c>
      <c r="H408" s="6">
        <v>453</v>
      </c>
      <c r="I408" s="17">
        <f t="shared" si="12"/>
        <v>848.31460674157302</v>
      </c>
      <c r="J408" s="15">
        <f t="shared" si="13"/>
        <v>2</v>
      </c>
    </row>
    <row r="409" spans="1:10">
      <c r="A409" s="16">
        <v>398</v>
      </c>
      <c r="B409" s="3">
        <v>35</v>
      </c>
      <c r="C409" s="4" t="s">
        <v>421</v>
      </c>
      <c r="D409" s="9" t="s">
        <v>441</v>
      </c>
      <c r="E409" s="5" t="s">
        <v>387</v>
      </c>
      <c r="F409" s="6">
        <v>4</v>
      </c>
      <c r="G409" s="6">
        <v>3</v>
      </c>
      <c r="H409" s="6">
        <v>1</v>
      </c>
      <c r="I409" s="17">
        <f t="shared" si="12"/>
        <v>333.33333333333331</v>
      </c>
      <c r="J409" s="15">
        <f t="shared" si="13"/>
        <v>0</v>
      </c>
    </row>
    <row r="410" spans="1:10">
      <c r="A410" s="16">
        <v>399</v>
      </c>
      <c r="B410" s="3">
        <v>36</v>
      </c>
      <c r="C410" s="4" t="s">
        <v>422</v>
      </c>
      <c r="D410" s="9" t="s">
        <v>441</v>
      </c>
      <c r="E410" s="5" t="s">
        <v>387</v>
      </c>
      <c r="F410" s="6">
        <v>1540</v>
      </c>
      <c r="G410" s="6">
        <v>804</v>
      </c>
      <c r="H410" s="6">
        <v>736</v>
      </c>
      <c r="I410" s="17">
        <f t="shared" si="12"/>
        <v>915.42288557213931</v>
      </c>
      <c r="J410" s="15">
        <f t="shared" si="13"/>
        <v>1</v>
      </c>
    </row>
    <row r="411" spans="1:10">
      <c r="A411" s="16">
        <v>400</v>
      </c>
      <c r="B411" s="3">
        <v>37</v>
      </c>
      <c r="C411" s="4" t="s">
        <v>423</v>
      </c>
      <c r="D411" s="9" t="s">
        <v>441</v>
      </c>
      <c r="E411" s="5" t="s">
        <v>387</v>
      </c>
      <c r="F411" s="6">
        <v>2064</v>
      </c>
      <c r="G411" s="6">
        <v>1077</v>
      </c>
      <c r="H411" s="6">
        <v>987</v>
      </c>
      <c r="I411" s="17">
        <f t="shared" si="12"/>
        <v>916.4345403899722</v>
      </c>
      <c r="J411" s="15">
        <f t="shared" si="13"/>
        <v>1</v>
      </c>
    </row>
    <row r="412" spans="1:10">
      <c r="A412" s="16">
        <v>401</v>
      </c>
      <c r="B412" s="3">
        <v>38</v>
      </c>
      <c r="C412" s="4" t="s">
        <v>424</v>
      </c>
      <c r="D412" s="9" t="s">
        <v>441</v>
      </c>
      <c r="E412" s="5" t="s">
        <v>387</v>
      </c>
      <c r="F412" s="6">
        <v>7658</v>
      </c>
      <c r="G412" s="6">
        <v>4042</v>
      </c>
      <c r="H412" s="6">
        <v>3616</v>
      </c>
      <c r="I412" s="17">
        <f t="shared" si="12"/>
        <v>894.60663038099949</v>
      </c>
      <c r="J412" s="15">
        <f t="shared" si="13"/>
        <v>2</v>
      </c>
    </row>
    <row r="413" spans="1:10">
      <c r="A413" s="16">
        <v>402</v>
      </c>
      <c r="B413" s="3">
        <v>39</v>
      </c>
      <c r="C413" s="4" t="s">
        <v>425</v>
      </c>
      <c r="D413" s="9" t="s">
        <v>441</v>
      </c>
      <c r="E413" s="5" t="s">
        <v>387</v>
      </c>
      <c r="F413" s="6">
        <v>935</v>
      </c>
      <c r="G413" s="6">
        <v>497</v>
      </c>
      <c r="H413" s="6">
        <v>438</v>
      </c>
      <c r="I413" s="17">
        <f t="shared" si="12"/>
        <v>881.28772635814892</v>
      </c>
      <c r="J413" s="15">
        <f t="shared" si="13"/>
        <v>2</v>
      </c>
    </row>
    <row r="414" spans="1:10">
      <c r="A414" s="16">
        <v>403</v>
      </c>
      <c r="B414" s="3">
        <v>40</v>
      </c>
      <c r="C414" s="4" t="s">
        <v>426</v>
      </c>
      <c r="D414" s="9" t="s">
        <v>441</v>
      </c>
      <c r="E414" s="5" t="s">
        <v>387</v>
      </c>
      <c r="F414" s="6">
        <v>1079</v>
      </c>
      <c r="G414" s="6">
        <v>565</v>
      </c>
      <c r="H414" s="6">
        <v>514</v>
      </c>
      <c r="I414" s="17">
        <f t="shared" si="12"/>
        <v>909.73451327433634</v>
      </c>
      <c r="J414" s="15">
        <f t="shared" si="13"/>
        <v>1</v>
      </c>
    </row>
    <row r="415" spans="1:10">
      <c r="A415" s="16">
        <v>404</v>
      </c>
      <c r="B415" s="3">
        <v>41</v>
      </c>
      <c r="C415" s="4" t="s">
        <v>427</v>
      </c>
      <c r="D415" s="9" t="s">
        <v>441</v>
      </c>
      <c r="E415" s="5" t="s">
        <v>387</v>
      </c>
      <c r="F415" s="6">
        <v>1235</v>
      </c>
      <c r="G415" s="6">
        <v>653</v>
      </c>
      <c r="H415" s="6">
        <v>582</v>
      </c>
      <c r="I415" s="17">
        <f t="shared" si="12"/>
        <v>891.27105666156206</v>
      </c>
      <c r="J415" s="15">
        <f t="shared" si="13"/>
        <v>2</v>
      </c>
    </row>
    <row r="416" spans="1:10">
      <c r="A416" s="16">
        <v>405</v>
      </c>
      <c r="B416" s="3">
        <v>42</v>
      </c>
      <c r="C416" s="4" t="s">
        <v>428</v>
      </c>
      <c r="D416" s="9" t="s">
        <v>441</v>
      </c>
      <c r="E416" s="5" t="s">
        <v>387</v>
      </c>
      <c r="F416" s="6">
        <v>1098</v>
      </c>
      <c r="G416" s="6">
        <v>570</v>
      </c>
      <c r="H416" s="6">
        <v>528</v>
      </c>
      <c r="I416" s="17">
        <f t="shared" si="12"/>
        <v>926.31578947368416</v>
      </c>
      <c r="J416" s="15">
        <f t="shared" si="13"/>
        <v>1</v>
      </c>
    </row>
    <row r="417" spans="1:10">
      <c r="A417" s="16">
        <v>406</v>
      </c>
      <c r="B417" s="3">
        <v>43</v>
      </c>
      <c r="C417" s="4" t="s">
        <v>429</v>
      </c>
      <c r="D417" s="9" t="s">
        <v>441</v>
      </c>
      <c r="E417" s="5" t="s">
        <v>387</v>
      </c>
      <c r="F417" s="6">
        <v>1769</v>
      </c>
      <c r="G417" s="6">
        <v>930</v>
      </c>
      <c r="H417" s="6">
        <v>839</v>
      </c>
      <c r="I417" s="17">
        <f t="shared" si="12"/>
        <v>902.15053763440858</v>
      </c>
      <c r="J417" s="15">
        <f t="shared" si="13"/>
        <v>1</v>
      </c>
    </row>
    <row r="418" spans="1:10">
      <c r="A418" s="16">
        <v>407</v>
      </c>
      <c r="B418" s="3">
        <v>44</v>
      </c>
      <c r="C418" s="4" t="s">
        <v>430</v>
      </c>
      <c r="D418" s="9" t="s">
        <v>441</v>
      </c>
      <c r="E418" s="5" t="s">
        <v>387</v>
      </c>
      <c r="F418" s="6">
        <v>982</v>
      </c>
      <c r="G418" s="6">
        <v>503</v>
      </c>
      <c r="H418" s="6">
        <v>479</v>
      </c>
      <c r="I418" s="17">
        <f t="shared" si="12"/>
        <v>952.286282306163</v>
      </c>
      <c r="J418" s="15">
        <f t="shared" si="13"/>
        <v>1</v>
      </c>
    </row>
    <row r="419" spans="1:10">
      <c r="A419" s="16">
        <v>408</v>
      </c>
      <c r="B419" s="3">
        <v>45</v>
      </c>
      <c r="C419" s="4" t="s">
        <v>431</v>
      </c>
      <c r="D419" s="9" t="s">
        <v>441</v>
      </c>
      <c r="E419" s="5" t="s">
        <v>387</v>
      </c>
      <c r="F419" s="6">
        <v>262</v>
      </c>
      <c r="G419" s="6">
        <v>143</v>
      </c>
      <c r="H419" s="6">
        <v>119</v>
      </c>
      <c r="I419" s="17">
        <f t="shared" si="12"/>
        <v>832.16783216783222</v>
      </c>
      <c r="J419" s="15">
        <f t="shared" si="13"/>
        <v>2</v>
      </c>
    </row>
    <row r="420" spans="1:10">
      <c r="A420" s="16">
        <v>409</v>
      </c>
      <c r="B420" s="3">
        <v>46</v>
      </c>
      <c r="C420" s="4" t="s">
        <v>432</v>
      </c>
      <c r="D420" s="9" t="s">
        <v>441</v>
      </c>
      <c r="E420" s="5" t="s">
        <v>387</v>
      </c>
      <c r="F420" s="6">
        <v>377</v>
      </c>
      <c r="G420" s="6">
        <v>208</v>
      </c>
      <c r="H420" s="6">
        <v>169</v>
      </c>
      <c r="I420" s="17">
        <f t="shared" si="12"/>
        <v>812.5</v>
      </c>
      <c r="J420" s="15">
        <f t="shared" si="13"/>
        <v>2</v>
      </c>
    </row>
    <row r="421" spans="1:10">
      <c r="A421" s="16">
        <v>410</v>
      </c>
      <c r="B421" s="3">
        <v>47</v>
      </c>
      <c r="C421" s="4" t="s">
        <v>433</v>
      </c>
      <c r="D421" s="9" t="s">
        <v>441</v>
      </c>
      <c r="E421" s="5" t="s">
        <v>387</v>
      </c>
      <c r="F421" s="6">
        <v>3315</v>
      </c>
      <c r="G421" s="6">
        <v>1783</v>
      </c>
      <c r="H421" s="6">
        <v>1532</v>
      </c>
      <c r="I421" s="17">
        <f t="shared" si="12"/>
        <v>859.22602355580477</v>
      </c>
      <c r="J421" s="15">
        <f t="shared" si="13"/>
        <v>2</v>
      </c>
    </row>
    <row r="422" spans="1:10">
      <c r="A422" s="16">
        <v>411</v>
      </c>
      <c r="B422" s="3">
        <v>48</v>
      </c>
      <c r="C422" s="4" t="s">
        <v>434</v>
      </c>
      <c r="D422" s="9" t="s">
        <v>441</v>
      </c>
      <c r="E422" s="5" t="s">
        <v>387</v>
      </c>
      <c r="F422" s="6">
        <v>3163</v>
      </c>
      <c r="G422" s="6">
        <v>1677</v>
      </c>
      <c r="H422" s="6">
        <v>1486</v>
      </c>
      <c r="I422" s="17">
        <f t="shared" si="12"/>
        <v>886.10614192009541</v>
      </c>
      <c r="J422" s="15">
        <f t="shared" si="13"/>
        <v>2</v>
      </c>
    </row>
    <row r="423" spans="1:10">
      <c r="A423" s="16">
        <v>412</v>
      </c>
      <c r="B423" s="3">
        <v>49</v>
      </c>
      <c r="C423" s="4" t="s">
        <v>435</v>
      </c>
      <c r="D423" s="9" t="s">
        <v>441</v>
      </c>
      <c r="E423" s="5" t="s">
        <v>387</v>
      </c>
      <c r="F423" s="6">
        <v>423</v>
      </c>
      <c r="G423" s="6">
        <v>237</v>
      </c>
      <c r="H423" s="6">
        <v>186</v>
      </c>
      <c r="I423" s="17">
        <f t="shared" si="12"/>
        <v>784.81012658227849</v>
      </c>
      <c r="J423" s="15">
        <f t="shared" si="13"/>
        <v>3</v>
      </c>
    </row>
    <row r="424" spans="1:10">
      <c r="A424" s="16">
        <v>413</v>
      </c>
      <c r="B424" s="3">
        <v>50</v>
      </c>
      <c r="C424" s="4" t="s">
        <v>436</v>
      </c>
      <c r="D424" s="9" t="s">
        <v>441</v>
      </c>
      <c r="E424" s="5" t="s">
        <v>387</v>
      </c>
      <c r="F424" s="6">
        <v>8108</v>
      </c>
      <c r="G424" s="6">
        <v>4323</v>
      </c>
      <c r="H424" s="6">
        <v>3785</v>
      </c>
      <c r="I424" s="17">
        <f t="shared" si="12"/>
        <v>875.54938699976867</v>
      </c>
      <c r="J424" s="15">
        <f t="shared" si="13"/>
        <v>2</v>
      </c>
    </row>
    <row r="425" spans="1:10">
      <c r="A425" s="16">
        <v>414</v>
      </c>
      <c r="B425" s="3">
        <v>51</v>
      </c>
      <c r="C425" s="4" t="s">
        <v>437</v>
      </c>
      <c r="D425" s="9" t="s">
        <v>441</v>
      </c>
      <c r="E425" s="5" t="s">
        <v>387</v>
      </c>
      <c r="F425" s="6">
        <v>1955</v>
      </c>
      <c r="G425" s="6">
        <v>1021</v>
      </c>
      <c r="H425" s="6">
        <v>934</v>
      </c>
      <c r="I425" s="17">
        <f t="shared" si="12"/>
        <v>914.78942213516154</v>
      </c>
      <c r="J425" s="15">
        <f t="shared" si="13"/>
        <v>1</v>
      </c>
    </row>
    <row r="426" spans="1:10">
      <c r="A426" s="24">
        <v>415</v>
      </c>
      <c r="B426" s="25">
        <v>52</v>
      </c>
      <c r="C426" s="26" t="s">
        <v>438</v>
      </c>
      <c r="D426" s="27" t="s">
        <v>441</v>
      </c>
      <c r="E426" s="28" t="s">
        <v>387</v>
      </c>
      <c r="F426" s="29">
        <v>999</v>
      </c>
      <c r="G426" s="29">
        <v>528</v>
      </c>
      <c r="H426" s="29">
        <v>471</v>
      </c>
      <c r="I426" s="30">
        <f t="shared" si="12"/>
        <v>892.04545454545462</v>
      </c>
      <c r="J426" s="15">
        <f t="shared" si="13"/>
        <v>2</v>
      </c>
    </row>
  </sheetData>
  <mergeCells count="4">
    <mergeCell ref="C2:H2"/>
    <mergeCell ref="E3:G3"/>
    <mergeCell ref="E5:F5"/>
    <mergeCell ref="E8:F8"/>
  </mergeCells>
  <conditionalFormatting sqref="J12:J426">
    <cfRule type="expression" dxfId="36" priority="6">
      <formula>"&gt;2"</formula>
    </cfRule>
  </conditionalFormatting>
  <conditionalFormatting sqref="C12:C104">
    <cfRule type="expression" dxfId="35" priority="5">
      <formula>AND($B$1&lt;&gt;"",ISNUMBER(SEARCH($B$1,C12)))</formula>
    </cfRule>
  </conditionalFormatting>
  <conditionalFormatting sqref="A12:I426">
    <cfRule type="expression" dxfId="34" priority="1">
      <formula>$I12&gt;900</formula>
    </cfRule>
    <cfRule type="expression" dxfId="33" priority="2">
      <formula>AND($I12&gt;=800,$I12&lt;900)</formula>
    </cfRule>
    <cfRule type="expression" dxfId="32" priority="3">
      <formula>AND($I12&gt;=700,$I12&lt;800)</formula>
    </cfRule>
    <cfRule type="expression" dxfId="31" priority="4">
      <formula>$I12&lt;700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D2:F20"/>
  <sheetViews>
    <sheetView workbookViewId="0">
      <selection activeCell="D2" sqref="D2:F20"/>
    </sheetView>
  </sheetViews>
  <sheetFormatPr defaultRowHeight="15" outlineLevelRow="2"/>
  <sheetData>
    <row r="2" spans="4:6">
      <c r="D2" t="s">
        <v>456</v>
      </c>
      <c r="E2" t="s">
        <v>457</v>
      </c>
      <c r="F2" t="s">
        <v>458</v>
      </c>
    </row>
    <row r="3" spans="4:6" outlineLevel="2">
      <c r="D3" t="s">
        <v>453</v>
      </c>
      <c r="E3">
        <v>53</v>
      </c>
      <c r="F3">
        <v>554</v>
      </c>
    </row>
    <row r="4" spans="4:6" outlineLevel="2">
      <c r="D4" t="s">
        <v>453</v>
      </c>
      <c r="E4">
        <v>43</v>
      </c>
      <c r="F4">
        <v>4</v>
      </c>
    </row>
    <row r="5" spans="4:6" outlineLevel="2">
      <c r="D5" t="s">
        <v>453</v>
      </c>
      <c r="E5">
        <v>43</v>
      </c>
      <c r="F5">
        <v>65</v>
      </c>
    </row>
    <row r="6" spans="4:6" outlineLevel="2">
      <c r="D6" t="s">
        <v>453</v>
      </c>
      <c r="E6">
        <v>534</v>
      </c>
      <c r="F6">
        <v>654</v>
      </c>
    </row>
    <row r="7" spans="4:6" outlineLevel="1">
      <c r="D7" s="38" t="s">
        <v>459</v>
      </c>
      <c r="E7">
        <f>SUBTOTAL(9,E3:E6)</f>
        <v>673</v>
      </c>
      <c r="F7">
        <f>SUBTOTAL(9,F3:F6)</f>
        <v>1277</v>
      </c>
    </row>
    <row r="8" spans="4:6" outlineLevel="2">
      <c r="D8" t="s">
        <v>454</v>
      </c>
      <c r="E8">
        <v>55</v>
      </c>
      <c r="F8">
        <v>6</v>
      </c>
    </row>
    <row r="9" spans="4:6" outlineLevel="2">
      <c r="D9" t="s">
        <v>454</v>
      </c>
      <c r="E9">
        <v>3</v>
      </c>
      <c r="F9">
        <v>46</v>
      </c>
    </row>
    <row r="10" spans="4:6" outlineLevel="2">
      <c r="D10" t="s">
        <v>454</v>
      </c>
      <c r="E10">
        <v>3</v>
      </c>
      <c r="F10">
        <v>6</v>
      </c>
    </row>
    <row r="11" spans="4:6" outlineLevel="2">
      <c r="D11" t="s">
        <v>454</v>
      </c>
      <c r="E11">
        <v>45</v>
      </c>
      <c r="F11">
        <v>6</v>
      </c>
    </row>
    <row r="12" spans="4:6" outlineLevel="2">
      <c r="D12" t="s">
        <v>454</v>
      </c>
      <c r="E12">
        <v>5</v>
      </c>
      <c r="F12">
        <v>645</v>
      </c>
    </row>
    <row r="13" spans="4:6" outlineLevel="1">
      <c r="D13" s="38" t="s">
        <v>460</v>
      </c>
      <c r="E13">
        <f>SUBTOTAL(9,E8:E12)</f>
        <v>111</v>
      </c>
      <c r="F13">
        <f>SUBTOTAL(9,F8:F12)</f>
        <v>709</v>
      </c>
    </row>
    <row r="14" spans="4:6" outlineLevel="2">
      <c r="D14" t="s">
        <v>455</v>
      </c>
      <c r="E14">
        <v>45</v>
      </c>
      <c r="F14">
        <v>6</v>
      </c>
    </row>
    <row r="15" spans="4:6" outlineLevel="2">
      <c r="D15" t="s">
        <v>455</v>
      </c>
      <c r="E15">
        <v>3453</v>
      </c>
      <c r="F15">
        <v>546</v>
      </c>
    </row>
    <row r="16" spans="4:6" outlineLevel="2">
      <c r="D16" t="s">
        <v>455</v>
      </c>
      <c r="E16">
        <v>534</v>
      </c>
      <c r="F16">
        <v>56675</v>
      </c>
    </row>
    <row r="17" spans="4:6" outlineLevel="2">
      <c r="D17" t="s">
        <v>455</v>
      </c>
      <c r="E17">
        <v>53</v>
      </c>
      <c r="F17">
        <v>67</v>
      </c>
    </row>
    <row r="18" spans="4:6" outlineLevel="2">
      <c r="D18" t="s">
        <v>455</v>
      </c>
      <c r="E18">
        <v>453</v>
      </c>
      <c r="F18">
        <v>67</v>
      </c>
    </row>
    <row r="19" spans="4:6" outlineLevel="1">
      <c r="D19" s="38" t="s">
        <v>461</v>
      </c>
      <c r="E19">
        <f>SUBTOTAL(9,E14:E18)</f>
        <v>4538</v>
      </c>
      <c r="F19">
        <f>SUBTOTAL(9,F14:F18)</f>
        <v>57361</v>
      </c>
    </row>
    <row r="20" spans="4:6">
      <c r="D20" s="38" t="s">
        <v>462</v>
      </c>
      <c r="E20">
        <f>SUBTOTAL(9,E3:E18)</f>
        <v>5322</v>
      </c>
      <c r="F20">
        <f>SUBTOTAL(9,F3:F18)</f>
        <v>59347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U407"/>
  <sheetViews>
    <sheetView topLeftCell="A7" workbookViewId="0">
      <selection activeCell="D4" sqref="D4"/>
    </sheetView>
  </sheetViews>
  <sheetFormatPr defaultRowHeight="15"/>
  <cols>
    <col min="1" max="1" width="14.140625" customWidth="1"/>
    <col min="2" max="2" width="16.28515625" customWidth="1"/>
    <col min="3" max="3" width="32.5703125" bestFit="1" customWidth="1"/>
    <col min="4" max="4" width="6.28515625" bestFit="1" customWidth="1"/>
    <col min="5" max="5" width="10.5703125" bestFit="1" customWidth="1"/>
    <col min="6" max="6" width="6" bestFit="1" customWidth="1"/>
    <col min="7" max="7" width="9.42578125" bestFit="1" customWidth="1"/>
    <col min="8" max="8" width="6" bestFit="1" customWidth="1"/>
    <col min="9" max="9" width="6.7109375" bestFit="1" customWidth="1"/>
    <col min="10" max="10" width="10.28515625" customWidth="1"/>
    <col min="11" max="11" width="21.85546875" customWidth="1"/>
    <col min="12" max="13" width="7.140625" bestFit="1" customWidth="1"/>
    <col min="14" max="14" width="9.42578125" bestFit="1" customWidth="1"/>
    <col min="15" max="15" width="7" bestFit="1" customWidth="1"/>
    <col min="16" max="17" width="6" bestFit="1" customWidth="1"/>
    <col min="18" max="19" width="7.7109375" bestFit="1" customWidth="1"/>
    <col min="20" max="20" width="7.85546875" bestFit="1" customWidth="1"/>
  </cols>
  <sheetData>
    <row r="1" spans="1:21" s="2" customFormat="1" ht="42.75" customHeight="1">
      <c r="A1" s="19" t="s">
        <v>440</v>
      </c>
      <c r="B1" s="20" t="s">
        <v>0</v>
      </c>
      <c r="C1" s="36" t="s">
        <v>1</v>
      </c>
      <c r="D1" s="21" t="s">
        <v>442</v>
      </c>
      <c r="E1" s="34" t="s">
        <v>2</v>
      </c>
      <c r="F1" s="21" t="s">
        <v>3</v>
      </c>
      <c r="G1" s="21" t="s">
        <v>4</v>
      </c>
      <c r="H1" s="21" t="s">
        <v>5</v>
      </c>
      <c r="I1" s="21" t="s">
        <v>6</v>
      </c>
      <c r="J1" s="23" t="s">
        <v>7</v>
      </c>
      <c r="K1" s="1" t="s">
        <v>8</v>
      </c>
      <c r="L1" s="1" t="s">
        <v>9</v>
      </c>
      <c r="M1" s="1" t="s">
        <v>10</v>
      </c>
      <c r="N1" s="1" t="s">
        <v>439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</row>
    <row r="2" spans="1:21" ht="18.75" customHeight="1">
      <c r="A2" s="16">
        <v>1</v>
      </c>
      <c r="B2" s="3">
        <v>1</v>
      </c>
      <c r="C2" s="4" t="s">
        <v>17</v>
      </c>
      <c r="D2" s="9" t="s">
        <v>441</v>
      </c>
      <c r="E2" s="5" t="s">
        <v>18</v>
      </c>
      <c r="F2" s="6">
        <v>452</v>
      </c>
      <c r="G2" s="6">
        <v>2211</v>
      </c>
      <c r="H2" s="6">
        <v>1189</v>
      </c>
      <c r="I2" s="6">
        <v>1022</v>
      </c>
      <c r="J2" s="17">
        <f t="shared" ref="J2:J65" si="0">I2/H2*1000</f>
        <v>859.54583683767873</v>
      </c>
      <c r="K2" s="6">
        <v>389</v>
      </c>
      <c r="L2" s="6">
        <v>217</v>
      </c>
      <c r="M2" s="6">
        <v>172</v>
      </c>
      <c r="N2" s="7">
        <f t="shared" ref="N2:N65" si="1">K2/G2*100</f>
        <v>17.59384893713252</v>
      </c>
      <c r="O2" s="6">
        <v>1320</v>
      </c>
      <c r="P2" s="6">
        <v>797</v>
      </c>
      <c r="Q2" s="6">
        <v>523</v>
      </c>
      <c r="R2" s="7">
        <v>70.250133049494394</v>
      </c>
      <c r="S2" s="7">
        <v>79.540918163672657</v>
      </c>
      <c r="T2" s="7">
        <v>59.635119726339802</v>
      </c>
      <c r="U2" s="15">
        <f>IF($J2&gt;900,1,IF($J2&gt;800,2,IF($J2&gt;700,3,0)))</f>
        <v>2</v>
      </c>
    </row>
    <row r="3" spans="1:21" ht="18.75" customHeight="1">
      <c r="A3" s="16">
        <v>2</v>
      </c>
      <c r="B3" s="3">
        <v>2</v>
      </c>
      <c r="C3" s="37" t="s">
        <v>19</v>
      </c>
      <c r="D3" s="9" t="s">
        <v>441</v>
      </c>
      <c r="E3" s="5" t="s">
        <v>18</v>
      </c>
      <c r="F3" s="6">
        <v>1002</v>
      </c>
      <c r="G3" s="6">
        <v>5457</v>
      </c>
      <c r="H3" s="6">
        <v>2852</v>
      </c>
      <c r="I3" s="6">
        <v>2605</v>
      </c>
      <c r="J3" s="17">
        <f t="shared" si="0"/>
        <v>913.39410939691447</v>
      </c>
      <c r="K3" s="6">
        <v>1455</v>
      </c>
      <c r="L3" s="6">
        <v>768</v>
      </c>
      <c r="M3" s="6">
        <v>687</v>
      </c>
      <c r="N3" s="7">
        <f t="shared" si="1"/>
        <v>26.663001649257833</v>
      </c>
      <c r="O3" s="6">
        <v>3401</v>
      </c>
      <c r="P3" s="6">
        <v>1948</v>
      </c>
      <c r="Q3" s="6">
        <v>1453</v>
      </c>
      <c r="R3" s="7">
        <v>72.223401996177529</v>
      </c>
      <c r="S3" s="7">
        <v>79.283679283679291</v>
      </c>
      <c r="T3" s="7">
        <v>64.520426287744229</v>
      </c>
      <c r="U3" s="15">
        <f t="shared" ref="U3:U66" si="2">IF($J3&gt;900,1,IF($J3&gt;800,2,IF($J3&gt;700,3,0)))</f>
        <v>1</v>
      </c>
    </row>
    <row r="4" spans="1:21" ht="18.75" customHeight="1">
      <c r="A4" s="16">
        <v>3</v>
      </c>
      <c r="B4" s="3">
        <v>3</v>
      </c>
      <c r="C4" s="4" t="s">
        <v>20</v>
      </c>
      <c r="D4" s="9" t="s">
        <v>441</v>
      </c>
      <c r="E4" s="5" t="s">
        <v>18</v>
      </c>
      <c r="F4" s="6">
        <v>269</v>
      </c>
      <c r="G4" s="6">
        <v>1670</v>
      </c>
      <c r="H4" s="6">
        <v>892</v>
      </c>
      <c r="I4" s="6">
        <v>778</v>
      </c>
      <c r="J4" s="17">
        <f t="shared" si="0"/>
        <v>872.19730941704029</v>
      </c>
      <c r="K4" s="6">
        <v>163</v>
      </c>
      <c r="L4" s="6">
        <v>90</v>
      </c>
      <c r="M4" s="6">
        <v>73</v>
      </c>
      <c r="N4" s="7">
        <f t="shared" si="1"/>
        <v>9.7604790419161667</v>
      </c>
      <c r="O4" s="6">
        <v>1141</v>
      </c>
      <c r="P4" s="6">
        <v>661</v>
      </c>
      <c r="Q4" s="6">
        <v>480</v>
      </c>
      <c r="R4" s="7">
        <v>77.883959044368595</v>
      </c>
      <c r="S4" s="7">
        <v>84.635083226632517</v>
      </c>
      <c r="T4" s="7">
        <v>70.175438596491219</v>
      </c>
      <c r="U4" s="15">
        <f t="shared" si="2"/>
        <v>2</v>
      </c>
    </row>
    <row r="5" spans="1:21" ht="18.75" customHeight="1">
      <c r="A5" s="16">
        <v>4</v>
      </c>
      <c r="B5" s="3">
        <v>4</v>
      </c>
      <c r="C5" s="35" t="s">
        <v>21</v>
      </c>
      <c r="D5" s="9" t="s">
        <v>441</v>
      </c>
      <c r="E5" s="5" t="s">
        <v>18</v>
      </c>
      <c r="F5" s="6">
        <v>202</v>
      </c>
      <c r="G5" s="6">
        <v>1074</v>
      </c>
      <c r="H5" s="6">
        <v>557</v>
      </c>
      <c r="I5" s="6">
        <v>517</v>
      </c>
      <c r="J5" s="17">
        <f t="shared" si="0"/>
        <v>928.18671454219032</v>
      </c>
      <c r="K5" s="6">
        <v>289</v>
      </c>
      <c r="L5" s="6">
        <v>150</v>
      </c>
      <c r="M5" s="6">
        <v>139</v>
      </c>
      <c r="N5" s="7">
        <f t="shared" si="1"/>
        <v>26.908752327746743</v>
      </c>
      <c r="O5" s="6">
        <v>721</v>
      </c>
      <c r="P5" s="6">
        <v>419</v>
      </c>
      <c r="Q5" s="6">
        <v>302</v>
      </c>
      <c r="R5" s="7">
        <v>76.458112407211033</v>
      </c>
      <c r="S5" s="7">
        <v>87.291666666666671</v>
      </c>
      <c r="T5" s="7">
        <v>65.2267818574514</v>
      </c>
      <c r="U5" s="15">
        <f t="shared" si="2"/>
        <v>1</v>
      </c>
    </row>
    <row r="6" spans="1:21" ht="18.75" customHeight="1">
      <c r="A6" s="16">
        <v>5</v>
      </c>
      <c r="B6" s="3">
        <v>5</v>
      </c>
      <c r="C6" s="4" t="s">
        <v>22</v>
      </c>
      <c r="D6" s="9" t="s">
        <v>441</v>
      </c>
      <c r="E6" s="5" t="s">
        <v>18</v>
      </c>
      <c r="F6" s="6">
        <v>1547</v>
      </c>
      <c r="G6" s="6">
        <v>8167</v>
      </c>
      <c r="H6" s="6">
        <v>4333</v>
      </c>
      <c r="I6" s="6">
        <v>3834</v>
      </c>
      <c r="J6" s="17">
        <f t="shared" si="0"/>
        <v>884.83729517655206</v>
      </c>
      <c r="K6" s="6">
        <v>2128</v>
      </c>
      <c r="L6" s="6">
        <v>1134</v>
      </c>
      <c r="M6" s="6">
        <v>994</v>
      </c>
      <c r="N6" s="7">
        <f t="shared" si="1"/>
        <v>26.056079343700254</v>
      </c>
      <c r="O6" s="6">
        <v>5350</v>
      </c>
      <c r="P6" s="6">
        <v>3163</v>
      </c>
      <c r="Q6" s="6">
        <v>2187</v>
      </c>
      <c r="R6" s="7">
        <v>75.045588441576655</v>
      </c>
      <c r="S6" s="7">
        <v>84.032943676939425</v>
      </c>
      <c r="T6" s="7">
        <v>64.992570579494796</v>
      </c>
      <c r="U6" s="15">
        <f t="shared" si="2"/>
        <v>2</v>
      </c>
    </row>
    <row r="7" spans="1:21" ht="18.75" customHeight="1">
      <c r="A7" s="16">
        <v>6</v>
      </c>
      <c r="B7" s="3">
        <v>6</v>
      </c>
      <c r="C7" s="4" t="s">
        <v>23</v>
      </c>
      <c r="D7" s="9" t="s">
        <v>441</v>
      </c>
      <c r="E7" s="5" t="s">
        <v>18</v>
      </c>
      <c r="F7" s="6">
        <v>450</v>
      </c>
      <c r="G7" s="6">
        <v>2238</v>
      </c>
      <c r="H7" s="6">
        <v>1146</v>
      </c>
      <c r="I7" s="6">
        <v>1092</v>
      </c>
      <c r="J7" s="17">
        <f t="shared" si="0"/>
        <v>952.87958115183244</v>
      </c>
      <c r="K7" s="6">
        <v>834</v>
      </c>
      <c r="L7" s="6">
        <v>421</v>
      </c>
      <c r="M7" s="6">
        <v>413</v>
      </c>
      <c r="N7" s="7">
        <f t="shared" si="1"/>
        <v>37.265415549597861</v>
      </c>
      <c r="O7" s="6">
        <v>1302</v>
      </c>
      <c r="P7" s="6">
        <v>711</v>
      </c>
      <c r="Q7" s="6">
        <v>591</v>
      </c>
      <c r="R7" s="7">
        <v>67.531120331950206</v>
      </c>
      <c r="S7" s="7">
        <v>72.256097560975604</v>
      </c>
      <c r="T7" s="7">
        <v>62.605932203389834</v>
      </c>
      <c r="U7" s="15">
        <f t="shared" si="2"/>
        <v>1</v>
      </c>
    </row>
    <row r="8" spans="1:21" ht="18.75" customHeight="1">
      <c r="A8" s="16">
        <v>7</v>
      </c>
      <c r="B8" s="3">
        <v>7</v>
      </c>
      <c r="C8" s="4" t="s">
        <v>24</v>
      </c>
      <c r="D8" s="9" t="s">
        <v>441</v>
      </c>
      <c r="E8" s="5" t="s">
        <v>18</v>
      </c>
      <c r="F8" s="6">
        <v>361</v>
      </c>
      <c r="G8" s="6">
        <v>2049</v>
      </c>
      <c r="H8" s="6">
        <v>1079</v>
      </c>
      <c r="I8" s="6">
        <v>970</v>
      </c>
      <c r="J8" s="17">
        <f t="shared" si="0"/>
        <v>898.98053753475438</v>
      </c>
      <c r="K8" s="6">
        <v>297</v>
      </c>
      <c r="L8" s="6">
        <v>160</v>
      </c>
      <c r="M8" s="6">
        <v>137</v>
      </c>
      <c r="N8" s="7">
        <f t="shared" si="1"/>
        <v>14.494875549048317</v>
      </c>
      <c r="O8" s="6">
        <v>1387</v>
      </c>
      <c r="P8" s="6">
        <v>794</v>
      </c>
      <c r="Q8" s="6">
        <v>593</v>
      </c>
      <c r="R8" s="7">
        <v>77.141268075639601</v>
      </c>
      <c r="S8" s="7">
        <v>84.199363732767765</v>
      </c>
      <c r="T8" s="7">
        <v>69.356725146198826</v>
      </c>
      <c r="U8" s="15">
        <f t="shared" si="2"/>
        <v>2</v>
      </c>
    </row>
    <row r="9" spans="1:21" ht="18.75" customHeight="1">
      <c r="A9" s="16">
        <v>8</v>
      </c>
      <c r="B9" s="3">
        <v>8</v>
      </c>
      <c r="C9" s="4" t="s">
        <v>25</v>
      </c>
      <c r="D9" s="9" t="s">
        <v>441</v>
      </c>
      <c r="E9" s="5" t="s">
        <v>18</v>
      </c>
      <c r="F9" s="6">
        <v>919</v>
      </c>
      <c r="G9" s="6">
        <v>4784</v>
      </c>
      <c r="H9" s="6">
        <v>2536</v>
      </c>
      <c r="I9" s="6">
        <v>2248</v>
      </c>
      <c r="J9" s="17">
        <f t="shared" si="0"/>
        <v>886.43533123028396</v>
      </c>
      <c r="K9" s="6">
        <v>1592</v>
      </c>
      <c r="L9" s="6">
        <v>810</v>
      </c>
      <c r="M9" s="6">
        <v>782</v>
      </c>
      <c r="N9" s="7">
        <f t="shared" si="1"/>
        <v>33.277591973244149</v>
      </c>
      <c r="O9" s="6">
        <v>2978</v>
      </c>
      <c r="P9" s="6">
        <v>1709</v>
      </c>
      <c r="Q9" s="6">
        <v>1269</v>
      </c>
      <c r="R9" s="7">
        <v>71.38063279002877</v>
      </c>
      <c r="S9" s="7">
        <v>78.322639780018335</v>
      </c>
      <c r="T9" s="7">
        <v>63.768844221105525</v>
      </c>
      <c r="U9" s="15">
        <f t="shared" si="2"/>
        <v>2</v>
      </c>
    </row>
    <row r="10" spans="1:21" ht="18.75" customHeight="1">
      <c r="A10" s="16">
        <v>9</v>
      </c>
      <c r="B10" s="3">
        <v>9</v>
      </c>
      <c r="C10" s="4" t="s">
        <v>26</v>
      </c>
      <c r="D10" s="9" t="s">
        <v>441</v>
      </c>
      <c r="E10" s="5" t="s">
        <v>18</v>
      </c>
      <c r="F10" s="6">
        <v>229</v>
      </c>
      <c r="G10" s="6">
        <v>1116</v>
      </c>
      <c r="H10" s="6">
        <v>598</v>
      </c>
      <c r="I10" s="6">
        <v>518</v>
      </c>
      <c r="J10" s="17">
        <f t="shared" si="0"/>
        <v>866.22073578595314</v>
      </c>
      <c r="K10" s="6">
        <v>352</v>
      </c>
      <c r="L10" s="6">
        <v>194</v>
      </c>
      <c r="M10" s="6">
        <v>158</v>
      </c>
      <c r="N10" s="7">
        <f t="shared" si="1"/>
        <v>31.541218637992831</v>
      </c>
      <c r="O10" s="6">
        <v>708</v>
      </c>
      <c r="P10" s="6">
        <v>410</v>
      </c>
      <c r="Q10" s="6">
        <v>298</v>
      </c>
      <c r="R10" s="7">
        <v>71.155778894472363</v>
      </c>
      <c r="S10" s="7">
        <v>78.095238095238102</v>
      </c>
      <c r="T10" s="7">
        <v>63.404255319148938</v>
      </c>
      <c r="U10" s="15">
        <f t="shared" si="2"/>
        <v>2</v>
      </c>
    </row>
    <row r="11" spans="1:21" ht="18.75" customHeight="1">
      <c r="A11" s="16">
        <v>10</v>
      </c>
      <c r="B11" s="3">
        <v>10</v>
      </c>
      <c r="C11" s="4" t="s">
        <v>27</v>
      </c>
      <c r="D11" s="9" t="s">
        <v>441</v>
      </c>
      <c r="E11" s="5" t="s">
        <v>18</v>
      </c>
      <c r="F11" s="6">
        <v>1175</v>
      </c>
      <c r="G11" s="6">
        <v>6095</v>
      </c>
      <c r="H11" s="6">
        <v>3154</v>
      </c>
      <c r="I11" s="6">
        <v>2941</v>
      </c>
      <c r="J11" s="17">
        <f t="shared" si="0"/>
        <v>932.46670894102726</v>
      </c>
      <c r="K11" s="6">
        <v>1950</v>
      </c>
      <c r="L11" s="6">
        <v>1016</v>
      </c>
      <c r="M11" s="6">
        <v>934</v>
      </c>
      <c r="N11" s="7">
        <f t="shared" si="1"/>
        <v>31.99343724364233</v>
      </c>
      <c r="O11" s="6">
        <v>3868</v>
      </c>
      <c r="P11" s="6">
        <v>2238</v>
      </c>
      <c r="Q11" s="6">
        <v>1630</v>
      </c>
      <c r="R11" s="7">
        <v>73.036253776435046</v>
      </c>
      <c r="S11" s="7">
        <v>82.583025830258308</v>
      </c>
      <c r="T11" s="7">
        <v>63.03170920340294</v>
      </c>
      <c r="U11" s="15">
        <f t="shared" si="2"/>
        <v>1</v>
      </c>
    </row>
    <row r="12" spans="1:21" ht="18.75" customHeight="1">
      <c r="A12" s="16">
        <v>11</v>
      </c>
      <c r="B12" s="3">
        <v>11</v>
      </c>
      <c r="C12" s="4" t="s">
        <v>28</v>
      </c>
      <c r="D12" s="9" t="s">
        <v>441</v>
      </c>
      <c r="E12" s="5" t="s">
        <v>18</v>
      </c>
      <c r="F12" s="6">
        <v>615</v>
      </c>
      <c r="G12" s="6">
        <v>3163</v>
      </c>
      <c r="H12" s="6">
        <v>1690</v>
      </c>
      <c r="I12" s="6">
        <v>1473</v>
      </c>
      <c r="J12" s="17">
        <f t="shared" si="0"/>
        <v>871.59763313609471</v>
      </c>
      <c r="K12" s="6">
        <v>678</v>
      </c>
      <c r="L12" s="6">
        <v>369</v>
      </c>
      <c r="M12" s="6">
        <v>309</v>
      </c>
      <c r="N12" s="7">
        <f t="shared" si="1"/>
        <v>21.435346190325642</v>
      </c>
      <c r="O12" s="6">
        <v>2022</v>
      </c>
      <c r="P12" s="6">
        <v>1213</v>
      </c>
      <c r="Q12" s="6">
        <v>809</v>
      </c>
      <c r="R12" s="7">
        <v>72.86486486486487</v>
      </c>
      <c r="S12" s="7">
        <v>82.070365358592696</v>
      </c>
      <c r="T12" s="7">
        <v>62.374710871241327</v>
      </c>
      <c r="U12" s="15">
        <f t="shared" si="2"/>
        <v>2</v>
      </c>
    </row>
    <row r="13" spans="1:21" ht="18.75" customHeight="1">
      <c r="A13" s="16">
        <v>12</v>
      </c>
      <c r="B13" s="3">
        <v>12</v>
      </c>
      <c r="C13" s="4" t="s">
        <v>29</v>
      </c>
      <c r="D13" s="9" t="s">
        <v>441</v>
      </c>
      <c r="E13" s="5" t="s">
        <v>18</v>
      </c>
      <c r="F13" s="6">
        <v>283</v>
      </c>
      <c r="G13" s="6">
        <v>1538</v>
      </c>
      <c r="H13" s="6">
        <v>812</v>
      </c>
      <c r="I13" s="6">
        <v>726</v>
      </c>
      <c r="J13" s="17">
        <f t="shared" si="0"/>
        <v>894.0886699507389</v>
      </c>
      <c r="K13" s="6">
        <v>315</v>
      </c>
      <c r="L13" s="6">
        <v>169</v>
      </c>
      <c r="M13" s="6">
        <v>146</v>
      </c>
      <c r="N13" s="7">
        <f t="shared" si="1"/>
        <v>20.48114434330299</v>
      </c>
      <c r="O13" s="6">
        <v>1040</v>
      </c>
      <c r="P13" s="6">
        <v>633</v>
      </c>
      <c r="Q13" s="6">
        <v>407</v>
      </c>
      <c r="R13" s="7">
        <v>76.134699853587122</v>
      </c>
      <c r="S13" s="7">
        <v>88.038942976356054</v>
      </c>
      <c r="T13" s="7">
        <v>62.905718701700152</v>
      </c>
      <c r="U13" s="15">
        <f t="shared" si="2"/>
        <v>2</v>
      </c>
    </row>
    <row r="14" spans="1:21" ht="18.75" customHeight="1">
      <c r="A14" s="16">
        <v>13</v>
      </c>
      <c r="B14" s="3">
        <v>13</v>
      </c>
      <c r="C14" s="4" t="s">
        <v>30</v>
      </c>
      <c r="D14" s="9" t="s">
        <v>441</v>
      </c>
      <c r="E14" s="5" t="s">
        <v>18</v>
      </c>
      <c r="F14" s="6">
        <v>243</v>
      </c>
      <c r="G14" s="6">
        <v>1422</v>
      </c>
      <c r="H14" s="6">
        <v>773</v>
      </c>
      <c r="I14" s="6">
        <v>649</v>
      </c>
      <c r="J14" s="17">
        <f t="shared" si="0"/>
        <v>839.58602846054328</v>
      </c>
      <c r="K14" s="6">
        <v>9</v>
      </c>
      <c r="L14" s="6">
        <v>6</v>
      </c>
      <c r="M14" s="6">
        <v>3</v>
      </c>
      <c r="N14" s="7">
        <f t="shared" si="1"/>
        <v>0.63291139240506333</v>
      </c>
      <c r="O14" s="6">
        <v>916</v>
      </c>
      <c r="P14" s="6">
        <v>536</v>
      </c>
      <c r="Q14" s="6">
        <v>380</v>
      </c>
      <c r="R14" s="7">
        <v>73.397435897435898</v>
      </c>
      <c r="S14" s="7">
        <v>80</v>
      </c>
      <c r="T14" s="7">
        <v>65.743944636678194</v>
      </c>
      <c r="U14" s="15">
        <f t="shared" si="2"/>
        <v>2</v>
      </c>
    </row>
    <row r="15" spans="1:21" ht="18.75" customHeight="1">
      <c r="A15" s="16">
        <v>14</v>
      </c>
      <c r="B15" s="3">
        <v>14</v>
      </c>
      <c r="C15" s="4" t="s">
        <v>31</v>
      </c>
      <c r="D15" s="9" t="s">
        <v>441</v>
      </c>
      <c r="E15" s="5" t="s">
        <v>18</v>
      </c>
      <c r="F15" s="6">
        <v>280</v>
      </c>
      <c r="G15" s="6">
        <v>1575</v>
      </c>
      <c r="H15" s="6">
        <v>836</v>
      </c>
      <c r="I15" s="6">
        <v>739</v>
      </c>
      <c r="J15" s="17">
        <f t="shared" si="0"/>
        <v>883.97129186602876</v>
      </c>
      <c r="K15" s="6">
        <v>66</v>
      </c>
      <c r="L15" s="6">
        <v>36</v>
      </c>
      <c r="M15" s="6">
        <v>30</v>
      </c>
      <c r="N15" s="7">
        <f t="shared" si="1"/>
        <v>4.1904761904761907</v>
      </c>
      <c r="O15" s="6">
        <v>997</v>
      </c>
      <c r="P15" s="6">
        <v>572</v>
      </c>
      <c r="Q15" s="6">
        <v>425</v>
      </c>
      <c r="R15" s="7">
        <v>71.726618705035975</v>
      </c>
      <c r="S15" s="7">
        <v>79.22437673130193</v>
      </c>
      <c r="T15" s="7">
        <v>63.622754491017965</v>
      </c>
      <c r="U15" s="15">
        <f t="shared" si="2"/>
        <v>2</v>
      </c>
    </row>
    <row r="16" spans="1:21" ht="18.75" customHeight="1">
      <c r="A16" s="16">
        <v>15</v>
      </c>
      <c r="B16" s="3">
        <v>15</v>
      </c>
      <c r="C16" s="4" t="s">
        <v>32</v>
      </c>
      <c r="D16" s="9" t="s">
        <v>441</v>
      </c>
      <c r="E16" s="5" t="s">
        <v>18</v>
      </c>
      <c r="F16" s="6">
        <v>363</v>
      </c>
      <c r="G16" s="6">
        <v>1811</v>
      </c>
      <c r="H16" s="6">
        <v>963</v>
      </c>
      <c r="I16" s="6">
        <v>848</v>
      </c>
      <c r="J16" s="17">
        <f t="shared" si="0"/>
        <v>880.58151609553477</v>
      </c>
      <c r="K16" s="6">
        <v>290</v>
      </c>
      <c r="L16" s="6">
        <v>155</v>
      </c>
      <c r="M16" s="6">
        <v>135</v>
      </c>
      <c r="N16" s="7">
        <f t="shared" si="1"/>
        <v>16.01325234676974</v>
      </c>
      <c r="O16" s="6">
        <v>1232</v>
      </c>
      <c r="P16" s="6">
        <v>724</v>
      </c>
      <c r="Q16" s="6">
        <v>508</v>
      </c>
      <c r="R16" s="7">
        <v>77.925363693864654</v>
      </c>
      <c r="S16" s="7">
        <v>85.883748517200473</v>
      </c>
      <c r="T16" s="7">
        <v>68.834688346883468</v>
      </c>
      <c r="U16" s="15">
        <f t="shared" si="2"/>
        <v>2</v>
      </c>
    </row>
    <row r="17" spans="1:21" ht="18.75" customHeight="1">
      <c r="A17" s="16">
        <v>16</v>
      </c>
      <c r="B17" s="3">
        <v>16</v>
      </c>
      <c r="C17" s="4" t="s">
        <v>33</v>
      </c>
      <c r="D17" s="9" t="s">
        <v>441</v>
      </c>
      <c r="E17" s="5" t="s">
        <v>18</v>
      </c>
      <c r="F17" s="6">
        <v>150</v>
      </c>
      <c r="G17" s="6">
        <v>756</v>
      </c>
      <c r="H17" s="6">
        <v>399</v>
      </c>
      <c r="I17" s="6">
        <v>357</v>
      </c>
      <c r="J17" s="17">
        <f t="shared" si="0"/>
        <v>894.73684210526312</v>
      </c>
      <c r="K17" s="6">
        <v>248</v>
      </c>
      <c r="L17" s="6">
        <v>123</v>
      </c>
      <c r="M17" s="6">
        <v>125</v>
      </c>
      <c r="N17" s="7">
        <f t="shared" si="1"/>
        <v>32.804232804232804</v>
      </c>
      <c r="O17" s="6">
        <v>506</v>
      </c>
      <c r="P17" s="6">
        <v>299</v>
      </c>
      <c r="Q17" s="6">
        <v>207</v>
      </c>
      <c r="R17" s="7">
        <v>75.97597597597597</v>
      </c>
      <c r="S17" s="7">
        <v>85.673352435530077</v>
      </c>
      <c r="T17" s="7">
        <v>65.29968454258676</v>
      </c>
      <c r="U17" s="15">
        <f t="shared" si="2"/>
        <v>2</v>
      </c>
    </row>
    <row r="18" spans="1:21" ht="18.75" customHeight="1">
      <c r="A18" s="16">
        <v>17</v>
      </c>
      <c r="B18" s="3">
        <v>17</v>
      </c>
      <c r="C18" s="4" t="s">
        <v>34</v>
      </c>
      <c r="D18" s="9" t="s">
        <v>441</v>
      </c>
      <c r="E18" s="5" t="s">
        <v>18</v>
      </c>
      <c r="F18" s="6">
        <v>318</v>
      </c>
      <c r="G18" s="6">
        <v>1513</v>
      </c>
      <c r="H18" s="6">
        <v>810</v>
      </c>
      <c r="I18" s="6">
        <v>703</v>
      </c>
      <c r="J18" s="17">
        <f t="shared" si="0"/>
        <v>867.90123456790127</v>
      </c>
      <c r="K18" s="6">
        <v>742</v>
      </c>
      <c r="L18" s="6">
        <v>397</v>
      </c>
      <c r="M18" s="6">
        <v>345</v>
      </c>
      <c r="N18" s="7">
        <f t="shared" si="1"/>
        <v>49.04163912756114</v>
      </c>
      <c r="O18" s="6">
        <v>954</v>
      </c>
      <c r="P18" s="6">
        <v>558</v>
      </c>
      <c r="Q18" s="6">
        <v>396</v>
      </c>
      <c r="R18" s="7">
        <v>72.218016654049961</v>
      </c>
      <c r="S18" s="7">
        <v>79.600570613409417</v>
      </c>
      <c r="T18" s="7">
        <v>63.87096774193548</v>
      </c>
      <c r="U18" s="15">
        <f t="shared" si="2"/>
        <v>2</v>
      </c>
    </row>
    <row r="19" spans="1:21" ht="18.75" customHeight="1">
      <c r="A19" s="16">
        <v>18</v>
      </c>
      <c r="B19" s="3">
        <v>18</v>
      </c>
      <c r="C19" s="4" t="s">
        <v>35</v>
      </c>
      <c r="D19" s="9" t="s">
        <v>441</v>
      </c>
      <c r="E19" s="5" t="s">
        <v>18</v>
      </c>
      <c r="F19" s="6">
        <v>483</v>
      </c>
      <c r="G19" s="6">
        <v>2392</v>
      </c>
      <c r="H19" s="6">
        <v>1256</v>
      </c>
      <c r="I19" s="6">
        <v>1136</v>
      </c>
      <c r="J19" s="17">
        <f t="shared" si="0"/>
        <v>904.4585987261147</v>
      </c>
      <c r="K19" s="6">
        <v>1012</v>
      </c>
      <c r="L19" s="6">
        <v>531</v>
      </c>
      <c r="M19" s="6">
        <v>481</v>
      </c>
      <c r="N19" s="7">
        <f t="shared" si="1"/>
        <v>42.307692307692307</v>
      </c>
      <c r="O19" s="6">
        <v>1375</v>
      </c>
      <c r="P19" s="6">
        <v>828</v>
      </c>
      <c r="Q19" s="6">
        <v>547</v>
      </c>
      <c r="R19" s="7">
        <v>69.095477386934675</v>
      </c>
      <c r="S19" s="7">
        <v>77.966101694915253</v>
      </c>
      <c r="T19" s="7">
        <v>58.943965517241381</v>
      </c>
      <c r="U19" s="15">
        <f t="shared" si="2"/>
        <v>1</v>
      </c>
    </row>
    <row r="20" spans="1:21" ht="18.75" customHeight="1">
      <c r="A20" s="16">
        <v>19</v>
      </c>
      <c r="B20" s="3">
        <v>19</v>
      </c>
      <c r="C20" s="4" t="s">
        <v>36</v>
      </c>
      <c r="D20" s="9" t="s">
        <v>441</v>
      </c>
      <c r="E20" s="5" t="s">
        <v>18</v>
      </c>
      <c r="F20" s="6">
        <v>83</v>
      </c>
      <c r="G20" s="6">
        <v>449</v>
      </c>
      <c r="H20" s="6">
        <v>250</v>
      </c>
      <c r="I20" s="6">
        <v>199</v>
      </c>
      <c r="J20" s="17">
        <f t="shared" si="0"/>
        <v>796</v>
      </c>
      <c r="K20" s="6">
        <v>115</v>
      </c>
      <c r="L20" s="6">
        <v>56</v>
      </c>
      <c r="M20" s="6">
        <v>59</v>
      </c>
      <c r="N20" s="7">
        <f t="shared" si="1"/>
        <v>25.612472160356347</v>
      </c>
      <c r="O20" s="6">
        <v>261</v>
      </c>
      <c r="P20" s="6">
        <v>149</v>
      </c>
      <c r="Q20" s="6">
        <v>112</v>
      </c>
      <c r="R20" s="7">
        <v>67.095115681233935</v>
      </c>
      <c r="S20" s="7">
        <v>68.663594470046093</v>
      </c>
      <c r="T20" s="7">
        <v>65.116279069767444</v>
      </c>
      <c r="U20" s="15">
        <f t="shared" si="2"/>
        <v>3</v>
      </c>
    </row>
    <row r="21" spans="1:21" ht="18.75" customHeight="1">
      <c r="A21" s="16">
        <v>20</v>
      </c>
      <c r="B21" s="3">
        <v>20</v>
      </c>
      <c r="C21" s="4" t="s">
        <v>37</v>
      </c>
      <c r="D21" s="9" t="s">
        <v>441</v>
      </c>
      <c r="E21" s="5" t="s">
        <v>18</v>
      </c>
      <c r="F21" s="6">
        <v>122</v>
      </c>
      <c r="G21" s="6">
        <v>667</v>
      </c>
      <c r="H21" s="6">
        <v>356</v>
      </c>
      <c r="I21" s="6">
        <v>311</v>
      </c>
      <c r="J21" s="17">
        <f t="shared" si="0"/>
        <v>873.59550561797755</v>
      </c>
      <c r="K21" s="6">
        <v>32</v>
      </c>
      <c r="L21" s="6">
        <v>19</v>
      </c>
      <c r="M21" s="6">
        <v>13</v>
      </c>
      <c r="N21" s="7">
        <f t="shared" si="1"/>
        <v>4.7976011994003001</v>
      </c>
      <c r="O21" s="6">
        <v>483</v>
      </c>
      <c r="P21" s="6">
        <v>279</v>
      </c>
      <c r="Q21" s="6">
        <v>204</v>
      </c>
      <c r="R21" s="7">
        <v>80.099502487562191</v>
      </c>
      <c r="S21" s="7">
        <v>88.571428571428569</v>
      </c>
      <c r="T21" s="7">
        <v>70.833333333333343</v>
      </c>
      <c r="U21" s="15">
        <f t="shared" si="2"/>
        <v>2</v>
      </c>
    </row>
    <row r="22" spans="1:21" ht="18.75" customHeight="1">
      <c r="A22" s="16">
        <v>22</v>
      </c>
      <c r="B22" s="3">
        <v>22</v>
      </c>
      <c r="C22" s="4" t="s">
        <v>39</v>
      </c>
      <c r="D22" s="9" t="s">
        <v>441</v>
      </c>
      <c r="E22" s="5" t="s">
        <v>18</v>
      </c>
      <c r="F22" s="6">
        <v>178</v>
      </c>
      <c r="G22" s="6">
        <v>1040</v>
      </c>
      <c r="H22" s="6">
        <v>533</v>
      </c>
      <c r="I22" s="6">
        <v>507</v>
      </c>
      <c r="J22" s="17">
        <f t="shared" si="0"/>
        <v>951.21951219512187</v>
      </c>
      <c r="K22" s="6">
        <v>561</v>
      </c>
      <c r="L22" s="6">
        <v>280</v>
      </c>
      <c r="M22" s="6">
        <v>281</v>
      </c>
      <c r="N22" s="7">
        <f t="shared" si="1"/>
        <v>53.942307692307686</v>
      </c>
      <c r="O22" s="6">
        <v>669</v>
      </c>
      <c r="P22" s="6">
        <v>385</v>
      </c>
      <c r="Q22" s="6">
        <v>284</v>
      </c>
      <c r="R22" s="7">
        <v>74.250832408435073</v>
      </c>
      <c r="S22" s="7">
        <v>82.089552238805979</v>
      </c>
      <c r="T22" s="7">
        <v>65.740740740740748</v>
      </c>
      <c r="U22" s="15">
        <f t="shared" si="2"/>
        <v>1</v>
      </c>
    </row>
    <row r="23" spans="1:21" ht="18.75" customHeight="1">
      <c r="A23" s="16">
        <v>23</v>
      </c>
      <c r="B23" s="3">
        <v>23</v>
      </c>
      <c r="C23" s="4" t="s">
        <v>40</v>
      </c>
      <c r="D23" s="9" t="s">
        <v>441</v>
      </c>
      <c r="E23" s="5" t="s">
        <v>18</v>
      </c>
      <c r="F23" s="6">
        <v>802</v>
      </c>
      <c r="G23" s="6">
        <v>4358</v>
      </c>
      <c r="H23" s="6">
        <v>2300</v>
      </c>
      <c r="I23" s="6">
        <v>2058</v>
      </c>
      <c r="J23" s="17">
        <f t="shared" si="0"/>
        <v>894.78260869565213</v>
      </c>
      <c r="K23" s="6">
        <v>1492</v>
      </c>
      <c r="L23" s="6">
        <v>779</v>
      </c>
      <c r="M23" s="6">
        <v>713</v>
      </c>
      <c r="N23" s="7">
        <f t="shared" si="1"/>
        <v>34.235888022028455</v>
      </c>
      <c r="O23" s="6">
        <v>2650</v>
      </c>
      <c r="P23" s="6">
        <v>1513</v>
      </c>
      <c r="Q23" s="6">
        <v>1137</v>
      </c>
      <c r="R23" s="7">
        <v>71.563597083445856</v>
      </c>
      <c r="S23" s="7">
        <v>78.556593977154719</v>
      </c>
      <c r="T23" s="7">
        <v>63.984243106359031</v>
      </c>
      <c r="U23" s="15">
        <f t="shared" si="2"/>
        <v>2</v>
      </c>
    </row>
    <row r="24" spans="1:21" ht="18.75" customHeight="1">
      <c r="A24" s="16">
        <v>24</v>
      </c>
      <c r="B24" s="3">
        <v>24</v>
      </c>
      <c r="C24" s="4" t="s">
        <v>41</v>
      </c>
      <c r="D24" s="9" t="s">
        <v>441</v>
      </c>
      <c r="E24" s="5" t="s">
        <v>18</v>
      </c>
      <c r="F24" s="6">
        <v>447</v>
      </c>
      <c r="G24" s="6">
        <v>2345</v>
      </c>
      <c r="H24" s="6">
        <v>1222</v>
      </c>
      <c r="I24" s="6">
        <v>1123</v>
      </c>
      <c r="J24" s="17">
        <f t="shared" si="0"/>
        <v>918.98527004909977</v>
      </c>
      <c r="K24" s="6">
        <v>1005</v>
      </c>
      <c r="L24" s="6">
        <v>515</v>
      </c>
      <c r="M24" s="6">
        <v>490</v>
      </c>
      <c r="N24" s="7">
        <f t="shared" si="1"/>
        <v>42.857142857142854</v>
      </c>
      <c r="O24" s="6">
        <v>1501</v>
      </c>
      <c r="P24" s="6">
        <v>903</v>
      </c>
      <c r="Q24" s="6">
        <v>598</v>
      </c>
      <c r="R24" s="7">
        <v>74.34373452204062</v>
      </c>
      <c r="S24" s="7">
        <v>84.47146866230122</v>
      </c>
      <c r="T24" s="7">
        <v>62.94736842105263</v>
      </c>
      <c r="U24" s="15">
        <f t="shared" si="2"/>
        <v>1</v>
      </c>
    </row>
    <row r="25" spans="1:21" ht="18.75" customHeight="1">
      <c r="A25" s="16">
        <v>25</v>
      </c>
      <c r="B25" s="3">
        <v>25</v>
      </c>
      <c r="C25" s="4" t="s">
        <v>42</v>
      </c>
      <c r="D25" s="9" t="s">
        <v>441</v>
      </c>
      <c r="E25" s="5" t="s">
        <v>18</v>
      </c>
      <c r="F25" s="6">
        <v>324</v>
      </c>
      <c r="G25" s="6">
        <v>1696</v>
      </c>
      <c r="H25" s="6">
        <v>898</v>
      </c>
      <c r="I25" s="6">
        <v>798</v>
      </c>
      <c r="J25" s="17">
        <f t="shared" si="0"/>
        <v>888.641425389755</v>
      </c>
      <c r="K25" s="6">
        <v>658</v>
      </c>
      <c r="L25" s="6">
        <v>329</v>
      </c>
      <c r="M25" s="6">
        <v>329</v>
      </c>
      <c r="N25" s="7">
        <f t="shared" si="1"/>
        <v>38.797169811320757</v>
      </c>
      <c r="O25" s="6">
        <v>1085</v>
      </c>
      <c r="P25" s="6">
        <v>647</v>
      </c>
      <c r="Q25" s="6">
        <v>438</v>
      </c>
      <c r="R25" s="7">
        <v>74.827586206896555</v>
      </c>
      <c r="S25" s="7">
        <v>85.243741765480891</v>
      </c>
      <c r="T25" s="7">
        <v>63.386396526772792</v>
      </c>
      <c r="U25" s="15">
        <f t="shared" si="2"/>
        <v>2</v>
      </c>
    </row>
    <row r="26" spans="1:21" ht="18.75" customHeight="1">
      <c r="A26" s="16">
        <v>26</v>
      </c>
      <c r="B26" s="3">
        <v>26</v>
      </c>
      <c r="C26" s="4" t="s">
        <v>43</v>
      </c>
      <c r="D26" s="9" t="s">
        <v>441</v>
      </c>
      <c r="E26" s="5" t="s">
        <v>18</v>
      </c>
      <c r="F26" s="6">
        <v>106</v>
      </c>
      <c r="G26" s="6">
        <v>597</v>
      </c>
      <c r="H26" s="6">
        <v>327</v>
      </c>
      <c r="I26" s="6">
        <v>270</v>
      </c>
      <c r="J26" s="17">
        <f t="shared" si="0"/>
        <v>825.6880733944954</v>
      </c>
      <c r="K26" s="6">
        <v>96</v>
      </c>
      <c r="L26" s="6">
        <v>48</v>
      </c>
      <c r="M26" s="6">
        <v>48</v>
      </c>
      <c r="N26" s="7">
        <f t="shared" si="1"/>
        <v>16.08040201005025</v>
      </c>
      <c r="O26" s="6">
        <v>408</v>
      </c>
      <c r="P26" s="6">
        <v>237</v>
      </c>
      <c r="Q26" s="6">
        <v>171</v>
      </c>
      <c r="R26" s="7">
        <v>80.157170923379169</v>
      </c>
      <c r="S26" s="7">
        <v>85.869565217391312</v>
      </c>
      <c r="T26" s="7">
        <v>73.39055793991416</v>
      </c>
      <c r="U26" s="15">
        <f t="shared" si="2"/>
        <v>2</v>
      </c>
    </row>
    <row r="27" spans="1:21" ht="18.75" customHeight="1">
      <c r="A27" s="16">
        <v>27</v>
      </c>
      <c r="B27" s="3">
        <v>27</v>
      </c>
      <c r="C27" s="4" t="s">
        <v>44</v>
      </c>
      <c r="D27" s="9" t="s">
        <v>441</v>
      </c>
      <c r="E27" s="5" t="s">
        <v>18</v>
      </c>
      <c r="F27" s="6">
        <v>432</v>
      </c>
      <c r="G27" s="6">
        <v>2279</v>
      </c>
      <c r="H27" s="6">
        <v>1210</v>
      </c>
      <c r="I27" s="6">
        <v>1069</v>
      </c>
      <c r="J27" s="17">
        <f t="shared" si="0"/>
        <v>883.47107438016531</v>
      </c>
      <c r="K27" s="6">
        <v>453</v>
      </c>
      <c r="L27" s="6">
        <v>241</v>
      </c>
      <c r="M27" s="6">
        <v>212</v>
      </c>
      <c r="N27" s="7">
        <f t="shared" si="1"/>
        <v>19.87713909609478</v>
      </c>
      <c r="O27" s="6">
        <v>1442</v>
      </c>
      <c r="P27" s="6">
        <v>905</v>
      </c>
      <c r="Q27" s="6">
        <v>537</v>
      </c>
      <c r="R27" s="7">
        <v>71.812749003984067</v>
      </c>
      <c r="S27" s="7">
        <v>84.896810506566595</v>
      </c>
      <c r="T27" s="7">
        <v>57.00636942675159</v>
      </c>
      <c r="U27" s="15">
        <f t="shared" si="2"/>
        <v>2</v>
      </c>
    </row>
    <row r="28" spans="1:21" ht="18.75" customHeight="1">
      <c r="A28" s="16">
        <v>28</v>
      </c>
      <c r="B28" s="3">
        <v>28</v>
      </c>
      <c r="C28" s="4" t="s">
        <v>45</v>
      </c>
      <c r="D28" s="9" t="s">
        <v>441</v>
      </c>
      <c r="E28" s="5" t="s">
        <v>18</v>
      </c>
      <c r="F28" s="6">
        <v>6</v>
      </c>
      <c r="G28" s="6">
        <v>30</v>
      </c>
      <c r="H28" s="6">
        <v>20</v>
      </c>
      <c r="I28" s="6">
        <v>10</v>
      </c>
      <c r="J28" s="17">
        <f t="shared" si="0"/>
        <v>500</v>
      </c>
      <c r="K28" s="6">
        <v>15</v>
      </c>
      <c r="L28" s="6">
        <v>9</v>
      </c>
      <c r="M28" s="6">
        <v>6</v>
      </c>
      <c r="N28" s="7">
        <f t="shared" si="1"/>
        <v>50</v>
      </c>
      <c r="O28" s="6">
        <v>21</v>
      </c>
      <c r="P28" s="6">
        <v>16</v>
      </c>
      <c r="Q28" s="6">
        <v>5</v>
      </c>
      <c r="R28" s="7">
        <v>70</v>
      </c>
      <c r="S28" s="7">
        <v>80</v>
      </c>
      <c r="T28" s="7">
        <v>50</v>
      </c>
      <c r="U28" s="15">
        <f t="shared" si="2"/>
        <v>0</v>
      </c>
    </row>
    <row r="29" spans="1:21" ht="18.75" customHeight="1">
      <c r="A29" s="16">
        <v>29</v>
      </c>
      <c r="B29" s="3">
        <v>29</v>
      </c>
      <c r="C29" s="4" t="s">
        <v>46</v>
      </c>
      <c r="D29" s="9" t="s">
        <v>441</v>
      </c>
      <c r="E29" s="5" t="s">
        <v>18</v>
      </c>
      <c r="F29" s="6">
        <v>295</v>
      </c>
      <c r="G29" s="6">
        <v>1390</v>
      </c>
      <c r="H29" s="6">
        <v>728</v>
      </c>
      <c r="I29" s="6">
        <v>662</v>
      </c>
      <c r="J29" s="17">
        <f t="shared" si="0"/>
        <v>909.34065934065939</v>
      </c>
      <c r="K29" s="6">
        <v>330</v>
      </c>
      <c r="L29" s="6">
        <v>165</v>
      </c>
      <c r="M29" s="6">
        <v>165</v>
      </c>
      <c r="N29" s="7">
        <f t="shared" si="1"/>
        <v>23.741007194244602</v>
      </c>
      <c r="O29" s="6">
        <v>894</v>
      </c>
      <c r="P29" s="6">
        <v>493</v>
      </c>
      <c r="Q29" s="6">
        <v>401</v>
      </c>
      <c r="R29" s="7">
        <v>72.801302931596084</v>
      </c>
      <c r="S29" s="7">
        <v>77.515723270440247</v>
      </c>
      <c r="T29" s="7">
        <v>67.736486486486484</v>
      </c>
      <c r="U29" s="15">
        <f t="shared" si="2"/>
        <v>1</v>
      </c>
    </row>
    <row r="30" spans="1:21" ht="18.75" customHeight="1">
      <c r="A30" s="16">
        <v>30</v>
      </c>
      <c r="B30" s="3">
        <v>30</v>
      </c>
      <c r="C30" s="4" t="s">
        <v>47</v>
      </c>
      <c r="D30" s="9" t="s">
        <v>441</v>
      </c>
      <c r="E30" s="5" t="s">
        <v>18</v>
      </c>
      <c r="F30" s="6">
        <v>243</v>
      </c>
      <c r="G30" s="6">
        <v>1180</v>
      </c>
      <c r="H30" s="6">
        <v>587</v>
      </c>
      <c r="I30" s="6">
        <v>593</v>
      </c>
      <c r="J30" s="17">
        <f t="shared" si="0"/>
        <v>1010.221465076661</v>
      </c>
      <c r="K30" s="6">
        <v>108</v>
      </c>
      <c r="L30" s="6">
        <v>53</v>
      </c>
      <c r="M30" s="6">
        <v>55</v>
      </c>
      <c r="N30" s="7">
        <f t="shared" si="1"/>
        <v>9.1525423728813564</v>
      </c>
      <c r="O30" s="6">
        <v>747</v>
      </c>
      <c r="P30" s="6">
        <v>383</v>
      </c>
      <c r="Q30" s="6">
        <v>364</v>
      </c>
      <c r="R30" s="7">
        <v>71.142857142857139</v>
      </c>
      <c r="S30" s="7">
        <v>74.081237911025141</v>
      </c>
      <c r="T30" s="7">
        <v>68.292682926829272</v>
      </c>
      <c r="U30" s="15">
        <f t="shared" si="2"/>
        <v>1</v>
      </c>
    </row>
    <row r="31" spans="1:21" ht="18.75" customHeight="1">
      <c r="A31" s="16">
        <v>31</v>
      </c>
      <c r="B31" s="3">
        <v>31</v>
      </c>
      <c r="C31" s="4" t="s">
        <v>48</v>
      </c>
      <c r="D31" s="9" t="s">
        <v>441</v>
      </c>
      <c r="E31" s="5" t="s">
        <v>18</v>
      </c>
      <c r="F31" s="6">
        <v>862</v>
      </c>
      <c r="G31" s="6">
        <v>4404</v>
      </c>
      <c r="H31" s="6">
        <v>2306</v>
      </c>
      <c r="I31" s="6">
        <v>2098</v>
      </c>
      <c r="J31" s="17">
        <f t="shared" si="0"/>
        <v>909.80052038161318</v>
      </c>
      <c r="K31" s="6">
        <v>830</v>
      </c>
      <c r="L31" s="6">
        <v>423</v>
      </c>
      <c r="M31" s="6">
        <v>407</v>
      </c>
      <c r="N31" s="7">
        <f t="shared" si="1"/>
        <v>18.846503178928248</v>
      </c>
      <c r="O31" s="6">
        <v>2705</v>
      </c>
      <c r="P31" s="6">
        <v>1600</v>
      </c>
      <c r="Q31" s="6">
        <v>1105</v>
      </c>
      <c r="R31" s="7">
        <v>70.571354030785287</v>
      </c>
      <c r="S31" s="7">
        <v>79.800498753117211</v>
      </c>
      <c r="T31" s="7">
        <v>60.448577680525162</v>
      </c>
      <c r="U31" s="15">
        <f t="shared" si="2"/>
        <v>1</v>
      </c>
    </row>
    <row r="32" spans="1:21" ht="18.75" customHeight="1">
      <c r="A32" s="16">
        <v>32</v>
      </c>
      <c r="B32" s="3">
        <v>32</v>
      </c>
      <c r="C32" s="4" t="s">
        <v>49</v>
      </c>
      <c r="D32" s="9" t="s">
        <v>441</v>
      </c>
      <c r="E32" s="5" t="s">
        <v>18</v>
      </c>
      <c r="F32" s="6">
        <v>217</v>
      </c>
      <c r="G32" s="6">
        <v>1097</v>
      </c>
      <c r="H32" s="6">
        <v>574</v>
      </c>
      <c r="I32" s="6">
        <v>523</v>
      </c>
      <c r="J32" s="17">
        <f t="shared" si="0"/>
        <v>911.14982578397212</v>
      </c>
      <c r="K32" s="6">
        <v>655</v>
      </c>
      <c r="L32" s="6">
        <v>334</v>
      </c>
      <c r="M32" s="6">
        <v>321</v>
      </c>
      <c r="N32" s="7">
        <f t="shared" si="1"/>
        <v>59.708295350957151</v>
      </c>
      <c r="O32" s="6">
        <v>667</v>
      </c>
      <c r="P32" s="6">
        <v>379</v>
      </c>
      <c r="Q32" s="6">
        <v>288</v>
      </c>
      <c r="R32" s="7">
        <v>70.063025210084035</v>
      </c>
      <c r="S32" s="7">
        <v>75.498007968127496</v>
      </c>
      <c r="T32" s="7">
        <v>64</v>
      </c>
      <c r="U32" s="15">
        <f t="shared" si="2"/>
        <v>1</v>
      </c>
    </row>
    <row r="33" spans="1:21" ht="18.75" customHeight="1">
      <c r="A33" s="16">
        <v>33</v>
      </c>
      <c r="B33" s="3">
        <v>33</v>
      </c>
      <c r="C33" s="4" t="s">
        <v>50</v>
      </c>
      <c r="D33" s="9" t="s">
        <v>441</v>
      </c>
      <c r="E33" s="5" t="s">
        <v>18</v>
      </c>
      <c r="F33" s="6">
        <v>59</v>
      </c>
      <c r="G33" s="6">
        <v>293</v>
      </c>
      <c r="H33" s="6">
        <v>149</v>
      </c>
      <c r="I33" s="6">
        <v>144</v>
      </c>
      <c r="J33" s="17">
        <f t="shared" si="0"/>
        <v>966.44295302013427</v>
      </c>
      <c r="K33" s="6">
        <v>23</v>
      </c>
      <c r="L33" s="6">
        <v>12</v>
      </c>
      <c r="M33" s="6">
        <v>11</v>
      </c>
      <c r="N33" s="7">
        <f t="shared" si="1"/>
        <v>7.8498293515358366</v>
      </c>
      <c r="O33" s="6">
        <v>186</v>
      </c>
      <c r="P33" s="6">
        <v>105</v>
      </c>
      <c r="Q33" s="6">
        <v>81</v>
      </c>
      <c r="R33" s="7">
        <v>73.80952380952381</v>
      </c>
      <c r="S33" s="7">
        <v>80.769230769230774</v>
      </c>
      <c r="T33" s="7">
        <v>66.393442622950815</v>
      </c>
      <c r="U33" s="15">
        <f t="shared" si="2"/>
        <v>1</v>
      </c>
    </row>
    <row r="34" spans="1:21" ht="18.75" customHeight="1">
      <c r="A34" s="16">
        <v>34</v>
      </c>
      <c r="B34" s="3">
        <v>34</v>
      </c>
      <c r="C34" s="4" t="s">
        <v>51</v>
      </c>
      <c r="D34" s="9" t="s">
        <v>441</v>
      </c>
      <c r="E34" s="5" t="s">
        <v>18</v>
      </c>
      <c r="F34" s="6">
        <v>147</v>
      </c>
      <c r="G34" s="6">
        <v>751</v>
      </c>
      <c r="H34" s="6">
        <v>407</v>
      </c>
      <c r="I34" s="6">
        <v>344</v>
      </c>
      <c r="J34" s="17">
        <f t="shared" si="0"/>
        <v>845.20884520884522</v>
      </c>
      <c r="K34" s="6">
        <v>98</v>
      </c>
      <c r="L34" s="6">
        <v>51</v>
      </c>
      <c r="M34" s="6">
        <v>47</v>
      </c>
      <c r="N34" s="7">
        <f t="shared" si="1"/>
        <v>13.049267643142477</v>
      </c>
      <c r="O34" s="6">
        <v>499</v>
      </c>
      <c r="P34" s="6">
        <v>304</v>
      </c>
      <c r="Q34" s="6">
        <v>195</v>
      </c>
      <c r="R34" s="7">
        <v>72.953216374269005</v>
      </c>
      <c r="S34" s="7">
        <v>81.501340482573724</v>
      </c>
      <c r="T34" s="7">
        <v>62.700964630225073</v>
      </c>
      <c r="U34" s="15">
        <f t="shared" si="2"/>
        <v>2</v>
      </c>
    </row>
    <row r="35" spans="1:21" ht="18.75" customHeight="1">
      <c r="A35" s="16">
        <v>35</v>
      </c>
      <c r="B35" s="3">
        <v>35</v>
      </c>
      <c r="C35" s="4" t="s">
        <v>52</v>
      </c>
      <c r="D35" s="9" t="s">
        <v>441</v>
      </c>
      <c r="E35" s="5" t="s">
        <v>18</v>
      </c>
      <c r="F35" s="6">
        <v>193</v>
      </c>
      <c r="G35" s="6">
        <v>1146</v>
      </c>
      <c r="H35" s="6">
        <v>592</v>
      </c>
      <c r="I35" s="6">
        <v>554</v>
      </c>
      <c r="J35" s="17">
        <f t="shared" si="0"/>
        <v>935.81081081081084</v>
      </c>
      <c r="K35" s="6">
        <v>387</v>
      </c>
      <c r="L35" s="6">
        <v>198</v>
      </c>
      <c r="M35" s="6">
        <v>189</v>
      </c>
      <c r="N35" s="7">
        <f t="shared" si="1"/>
        <v>33.769633507853399</v>
      </c>
      <c r="O35" s="6">
        <v>763</v>
      </c>
      <c r="P35" s="6">
        <v>444</v>
      </c>
      <c r="Q35" s="6">
        <v>319</v>
      </c>
      <c r="R35" s="7">
        <v>75.320829220138208</v>
      </c>
      <c r="S35" s="7">
        <v>84.732824427480907</v>
      </c>
      <c r="T35" s="7">
        <v>65.235173824130882</v>
      </c>
      <c r="U35" s="15">
        <f t="shared" si="2"/>
        <v>1</v>
      </c>
    </row>
    <row r="36" spans="1:21" ht="18.75" customHeight="1">
      <c r="A36" s="16">
        <v>36</v>
      </c>
      <c r="B36" s="3">
        <v>36</v>
      </c>
      <c r="C36" s="4" t="s">
        <v>53</v>
      </c>
      <c r="D36" s="9" t="s">
        <v>441</v>
      </c>
      <c r="E36" s="5" t="s">
        <v>18</v>
      </c>
      <c r="F36" s="6">
        <v>278</v>
      </c>
      <c r="G36" s="6">
        <v>1615</v>
      </c>
      <c r="H36" s="6">
        <v>868</v>
      </c>
      <c r="I36" s="6">
        <v>747</v>
      </c>
      <c r="J36" s="17">
        <f t="shared" si="0"/>
        <v>860.59907834101375</v>
      </c>
      <c r="K36" s="6">
        <v>482</v>
      </c>
      <c r="L36" s="6">
        <v>263</v>
      </c>
      <c r="M36" s="6">
        <v>219</v>
      </c>
      <c r="N36" s="7">
        <f t="shared" si="1"/>
        <v>29.845201238390096</v>
      </c>
      <c r="O36" s="6">
        <v>1034</v>
      </c>
      <c r="P36" s="6">
        <v>618</v>
      </c>
      <c r="Q36" s="6">
        <v>416</v>
      </c>
      <c r="R36" s="7">
        <v>73.594306049822066</v>
      </c>
      <c r="S36" s="7">
        <v>82.290279627163784</v>
      </c>
      <c r="T36" s="7">
        <v>63.608562691131496</v>
      </c>
      <c r="U36" s="15">
        <f t="shared" si="2"/>
        <v>2</v>
      </c>
    </row>
    <row r="37" spans="1:21" ht="18.75" customHeight="1">
      <c r="A37" s="16">
        <v>37</v>
      </c>
      <c r="B37" s="3">
        <v>37</v>
      </c>
      <c r="C37" s="4" t="s">
        <v>54</v>
      </c>
      <c r="D37" s="9" t="s">
        <v>441</v>
      </c>
      <c r="E37" s="5" t="s">
        <v>18</v>
      </c>
      <c r="F37" s="6">
        <v>1219</v>
      </c>
      <c r="G37" s="6">
        <v>6485</v>
      </c>
      <c r="H37" s="6">
        <v>3364</v>
      </c>
      <c r="I37" s="6">
        <v>3121</v>
      </c>
      <c r="J37" s="17">
        <f t="shared" si="0"/>
        <v>927.76456599286564</v>
      </c>
      <c r="K37" s="6">
        <v>2367</v>
      </c>
      <c r="L37" s="6">
        <v>1219</v>
      </c>
      <c r="M37" s="6">
        <v>1148</v>
      </c>
      <c r="N37" s="7">
        <f t="shared" si="1"/>
        <v>36.499614494988435</v>
      </c>
      <c r="O37" s="6">
        <v>3979</v>
      </c>
      <c r="P37" s="6">
        <v>2317</v>
      </c>
      <c r="Q37" s="6">
        <v>1662</v>
      </c>
      <c r="R37" s="7">
        <v>71.926970354302242</v>
      </c>
      <c r="S37" s="7">
        <v>80.563282336578581</v>
      </c>
      <c r="T37" s="7">
        <v>62.575301204819276</v>
      </c>
      <c r="U37" s="15">
        <f t="shared" si="2"/>
        <v>1</v>
      </c>
    </row>
    <row r="38" spans="1:21" ht="18.75" customHeight="1">
      <c r="A38" s="16">
        <v>38</v>
      </c>
      <c r="B38" s="3">
        <v>38</v>
      </c>
      <c r="C38" s="4" t="s">
        <v>55</v>
      </c>
      <c r="D38" s="9" t="s">
        <v>441</v>
      </c>
      <c r="E38" s="5" t="s">
        <v>18</v>
      </c>
      <c r="F38" s="6">
        <v>498</v>
      </c>
      <c r="G38" s="6">
        <v>2798</v>
      </c>
      <c r="H38" s="6">
        <v>1476</v>
      </c>
      <c r="I38" s="6">
        <v>1322</v>
      </c>
      <c r="J38" s="17">
        <f t="shared" si="0"/>
        <v>895.66395663956644</v>
      </c>
      <c r="K38" s="6">
        <v>835</v>
      </c>
      <c r="L38" s="6">
        <v>434</v>
      </c>
      <c r="M38" s="6">
        <v>401</v>
      </c>
      <c r="N38" s="7">
        <f t="shared" si="1"/>
        <v>29.842744817726945</v>
      </c>
      <c r="O38" s="6">
        <v>1702</v>
      </c>
      <c r="P38" s="6">
        <v>1005</v>
      </c>
      <c r="Q38" s="6">
        <v>697</v>
      </c>
      <c r="R38" s="7">
        <v>70.185567010309285</v>
      </c>
      <c r="S38" s="7">
        <v>78.761755485893417</v>
      </c>
      <c r="T38" s="7">
        <v>60.661444734551786</v>
      </c>
      <c r="U38" s="15">
        <f t="shared" si="2"/>
        <v>2</v>
      </c>
    </row>
    <row r="39" spans="1:21" ht="18.75" customHeight="1">
      <c r="A39" s="16">
        <v>39</v>
      </c>
      <c r="B39" s="3">
        <v>39</v>
      </c>
      <c r="C39" s="4" t="s">
        <v>56</v>
      </c>
      <c r="D39" s="9" t="s">
        <v>441</v>
      </c>
      <c r="E39" s="5" t="s">
        <v>18</v>
      </c>
      <c r="F39" s="6">
        <v>69</v>
      </c>
      <c r="G39" s="6">
        <v>328</v>
      </c>
      <c r="H39" s="6">
        <v>164</v>
      </c>
      <c r="I39" s="6">
        <v>164</v>
      </c>
      <c r="J39" s="17">
        <f t="shared" si="0"/>
        <v>1000</v>
      </c>
      <c r="K39" s="6">
        <v>273</v>
      </c>
      <c r="L39" s="6">
        <v>136</v>
      </c>
      <c r="M39" s="6">
        <v>137</v>
      </c>
      <c r="N39" s="7">
        <f t="shared" si="1"/>
        <v>83.231707317073173</v>
      </c>
      <c r="O39" s="6">
        <v>182</v>
      </c>
      <c r="P39" s="6">
        <v>103</v>
      </c>
      <c r="Q39" s="6">
        <v>79</v>
      </c>
      <c r="R39" s="7">
        <v>67.407407407407405</v>
      </c>
      <c r="S39" s="7">
        <v>75.735294117647058</v>
      </c>
      <c r="T39" s="7">
        <v>58.955223880597018</v>
      </c>
      <c r="U39" s="15">
        <f t="shared" si="2"/>
        <v>1</v>
      </c>
    </row>
    <row r="40" spans="1:21" ht="18.75" customHeight="1">
      <c r="A40" s="16">
        <v>40</v>
      </c>
      <c r="B40" s="3">
        <v>40</v>
      </c>
      <c r="C40" s="4" t="s">
        <v>57</v>
      </c>
      <c r="D40" s="9" t="s">
        <v>441</v>
      </c>
      <c r="E40" s="5" t="s">
        <v>18</v>
      </c>
      <c r="F40" s="6">
        <v>233</v>
      </c>
      <c r="G40" s="6">
        <v>1264</v>
      </c>
      <c r="H40" s="6">
        <v>656</v>
      </c>
      <c r="I40" s="6">
        <v>608</v>
      </c>
      <c r="J40" s="17">
        <f t="shared" si="0"/>
        <v>926.82926829268297</v>
      </c>
      <c r="K40" s="6">
        <v>151</v>
      </c>
      <c r="L40" s="6">
        <v>76</v>
      </c>
      <c r="M40" s="6">
        <v>75</v>
      </c>
      <c r="N40" s="7">
        <f t="shared" si="1"/>
        <v>11.94620253164557</v>
      </c>
      <c r="O40" s="6">
        <v>909</v>
      </c>
      <c r="P40" s="6">
        <v>506</v>
      </c>
      <c r="Q40" s="6">
        <v>403</v>
      </c>
      <c r="R40" s="7">
        <v>81.160714285714292</v>
      </c>
      <c r="S40" s="7">
        <v>87.543252595155707</v>
      </c>
      <c r="T40" s="7">
        <v>74.354243542435427</v>
      </c>
      <c r="U40" s="15">
        <f t="shared" si="2"/>
        <v>1</v>
      </c>
    </row>
    <row r="41" spans="1:21" ht="18.75" customHeight="1">
      <c r="A41" s="16">
        <v>41</v>
      </c>
      <c r="B41" s="3">
        <v>41</v>
      </c>
      <c r="C41" s="4" t="s">
        <v>58</v>
      </c>
      <c r="D41" s="9" t="s">
        <v>441</v>
      </c>
      <c r="E41" s="5" t="s">
        <v>18</v>
      </c>
      <c r="F41" s="6">
        <v>187</v>
      </c>
      <c r="G41" s="6">
        <v>915</v>
      </c>
      <c r="H41" s="6">
        <v>484</v>
      </c>
      <c r="I41" s="6">
        <v>431</v>
      </c>
      <c r="J41" s="17">
        <f t="shared" si="0"/>
        <v>890.49586776859496</v>
      </c>
      <c r="K41" s="6">
        <v>491</v>
      </c>
      <c r="L41" s="6">
        <v>262</v>
      </c>
      <c r="M41" s="6">
        <v>229</v>
      </c>
      <c r="N41" s="7">
        <f t="shared" si="1"/>
        <v>53.661202185792348</v>
      </c>
      <c r="O41" s="6">
        <v>586</v>
      </c>
      <c r="P41" s="6">
        <v>346</v>
      </c>
      <c r="Q41" s="6">
        <v>240</v>
      </c>
      <c r="R41" s="7">
        <v>74.271229404309253</v>
      </c>
      <c r="S41" s="7">
        <v>84.18491484184915</v>
      </c>
      <c r="T41" s="7">
        <v>63.492063492063487</v>
      </c>
      <c r="U41" s="15">
        <f t="shared" si="2"/>
        <v>2</v>
      </c>
    </row>
    <row r="42" spans="1:21" ht="18.75" customHeight="1">
      <c r="A42" s="16">
        <v>42</v>
      </c>
      <c r="B42" s="3">
        <v>42</v>
      </c>
      <c r="C42" s="4" t="s">
        <v>59</v>
      </c>
      <c r="D42" s="9" t="s">
        <v>441</v>
      </c>
      <c r="E42" s="5" t="s">
        <v>18</v>
      </c>
      <c r="F42" s="6">
        <v>179</v>
      </c>
      <c r="G42" s="6">
        <v>902</v>
      </c>
      <c r="H42" s="6">
        <v>463</v>
      </c>
      <c r="I42" s="6">
        <v>439</v>
      </c>
      <c r="J42" s="17">
        <f t="shared" si="0"/>
        <v>948.16414686825055</v>
      </c>
      <c r="K42" s="6">
        <v>277</v>
      </c>
      <c r="L42" s="6">
        <v>144</v>
      </c>
      <c r="M42" s="6">
        <v>133</v>
      </c>
      <c r="N42" s="7">
        <f t="shared" si="1"/>
        <v>30.709534368070951</v>
      </c>
      <c r="O42" s="6">
        <v>623</v>
      </c>
      <c r="P42" s="6">
        <v>351</v>
      </c>
      <c r="Q42" s="6">
        <v>272</v>
      </c>
      <c r="R42" s="7">
        <v>79.871794871794876</v>
      </c>
      <c r="S42" s="7">
        <v>88.413098236775824</v>
      </c>
      <c r="T42" s="7">
        <v>71.018276762402081</v>
      </c>
      <c r="U42" s="15">
        <f t="shared" si="2"/>
        <v>1</v>
      </c>
    </row>
    <row r="43" spans="1:21" ht="18.75" customHeight="1">
      <c r="A43" s="16">
        <v>43</v>
      </c>
      <c r="B43" s="3">
        <v>43</v>
      </c>
      <c r="C43" s="4" t="s">
        <v>60</v>
      </c>
      <c r="D43" s="9" t="s">
        <v>441</v>
      </c>
      <c r="E43" s="5" t="s">
        <v>18</v>
      </c>
      <c r="F43" s="6">
        <v>357</v>
      </c>
      <c r="G43" s="6">
        <v>1945</v>
      </c>
      <c r="H43" s="6">
        <v>1037</v>
      </c>
      <c r="I43" s="6">
        <v>908</v>
      </c>
      <c r="J43" s="17">
        <f t="shared" si="0"/>
        <v>875.60270009643205</v>
      </c>
      <c r="K43" s="6">
        <v>154</v>
      </c>
      <c r="L43" s="6">
        <v>91</v>
      </c>
      <c r="M43" s="6">
        <v>63</v>
      </c>
      <c r="N43" s="7">
        <f t="shared" si="1"/>
        <v>7.9177377892030849</v>
      </c>
      <c r="O43" s="6">
        <v>1260</v>
      </c>
      <c r="P43" s="6">
        <v>735</v>
      </c>
      <c r="Q43" s="6">
        <v>525</v>
      </c>
      <c r="R43" s="7">
        <v>74.777448071216611</v>
      </c>
      <c r="S43" s="7">
        <v>82.214765100671144</v>
      </c>
      <c r="T43" s="7">
        <v>66.371681415929203</v>
      </c>
      <c r="U43" s="15">
        <f t="shared" si="2"/>
        <v>2</v>
      </c>
    </row>
    <row r="44" spans="1:21" ht="18.75" customHeight="1">
      <c r="A44" s="16">
        <v>44</v>
      </c>
      <c r="B44" s="3">
        <v>44</v>
      </c>
      <c r="C44" s="4" t="s">
        <v>61</v>
      </c>
      <c r="D44" s="9" t="s">
        <v>441</v>
      </c>
      <c r="E44" s="5" t="s">
        <v>18</v>
      </c>
      <c r="F44" s="6">
        <v>365</v>
      </c>
      <c r="G44" s="6">
        <v>2078</v>
      </c>
      <c r="H44" s="6">
        <v>1085</v>
      </c>
      <c r="I44" s="6">
        <v>993</v>
      </c>
      <c r="J44" s="17">
        <f t="shared" si="0"/>
        <v>915.20737327188942</v>
      </c>
      <c r="K44" s="6">
        <v>479</v>
      </c>
      <c r="L44" s="6">
        <v>256</v>
      </c>
      <c r="M44" s="6">
        <v>223</v>
      </c>
      <c r="N44" s="7">
        <f t="shared" si="1"/>
        <v>23.051010587102983</v>
      </c>
      <c r="O44" s="6">
        <v>1182</v>
      </c>
      <c r="P44" s="6">
        <v>699</v>
      </c>
      <c r="Q44" s="6">
        <v>483</v>
      </c>
      <c r="R44" s="7">
        <v>67.235494880546071</v>
      </c>
      <c r="S44" s="7">
        <v>75.978260869565219</v>
      </c>
      <c r="T44" s="7">
        <v>57.637231503579955</v>
      </c>
      <c r="U44" s="15">
        <f t="shared" si="2"/>
        <v>1</v>
      </c>
    </row>
    <row r="45" spans="1:21" ht="18.75" customHeight="1">
      <c r="A45" s="16">
        <v>45</v>
      </c>
      <c r="B45" s="3">
        <v>45</v>
      </c>
      <c r="C45" s="4" t="s">
        <v>62</v>
      </c>
      <c r="D45" s="9" t="s">
        <v>441</v>
      </c>
      <c r="E45" s="5" t="s">
        <v>18</v>
      </c>
      <c r="F45" s="6">
        <v>240</v>
      </c>
      <c r="G45" s="6">
        <v>1199</v>
      </c>
      <c r="H45" s="6">
        <v>621</v>
      </c>
      <c r="I45" s="6">
        <v>578</v>
      </c>
      <c r="J45" s="17">
        <f t="shared" si="0"/>
        <v>930.75684380032203</v>
      </c>
      <c r="K45" s="6">
        <v>516</v>
      </c>
      <c r="L45" s="6">
        <v>264</v>
      </c>
      <c r="M45" s="6">
        <v>252</v>
      </c>
      <c r="N45" s="7">
        <f t="shared" si="1"/>
        <v>43.035863219349459</v>
      </c>
      <c r="O45" s="6">
        <v>718</v>
      </c>
      <c r="P45" s="6">
        <v>423</v>
      </c>
      <c r="Q45" s="6">
        <v>295</v>
      </c>
      <c r="R45" s="7">
        <v>69.641125121241515</v>
      </c>
      <c r="S45" s="7">
        <v>79.362101313320821</v>
      </c>
      <c r="T45" s="7">
        <v>59.23694779116466</v>
      </c>
      <c r="U45" s="15">
        <f t="shared" si="2"/>
        <v>1</v>
      </c>
    </row>
    <row r="46" spans="1:21" ht="18.75" customHeight="1">
      <c r="A46" s="16">
        <v>46</v>
      </c>
      <c r="B46" s="3">
        <v>46</v>
      </c>
      <c r="C46" s="4" t="s">
        <v>63</v>
      </c>
      <c r="D46" s="9" t="s">
        <v>441</v>
      </c>
      <c r="E46" s="5" t="s">
        <v>18</v>
      </c>
      <c r="F46" s="6">
        <v>1363</v>
      </c>
      <c r="G46" s="6">
        <v>7344</v>
      </c>
      <c r="H46" s="6">
        <v>3869</v>
      </c>
      <c r="I46" s="6">
        <v>3475</v>
      </c>
      <c r="J46" s="17">
        <f t="shared" si="0"/>
        <v>898.16490049108302</v>
      </c>
      <c r="K46" s="6">
        <v>1317</v>
      </c>
      <c r="L46" s="6">
        <v>690</v>
      </c>
      <c r="M46" s="6">
        <v>627</v>
      </c>
      <c r="N46" s="7">
        <f t="shared" si="1"/>
        <v>17.933006535947712</v>
      </c>
      <c r="O46" s="6">
        <v>4313</v>
      </c>
      <c r="P46" s="6">
        <v>2571</v>
      </c>
      <c r="Q46" s="6">
        <v>1742</v>
      </c>
      <c r="R46" s="7">
        <v>67.55952380952381</v>
      </c>
      <c r="S46" s="7">
        <v>76.449598572702953</v>
      </c>
      <c r="T46" s="7">
        <v>57.66302548824892</v>
      </c>
      <c r="U46" s="15">
        <f t="shared" si="2"/>
        <v>2</v>
      </c>
    </row>
    <row r="47" spans="1:21" ht="18.75" customHeight="1">
      <c r="A47" s="16">
        <v>47</v>
      </c>
      <c r="B47" s="3">
        <v>47</v>
      </c>
      <c r="C47" s="4" t="s">
        <v>64</v>
      </c>
      <c r="D47" s="9" t="s">
        <v>441</v>
      </c>
      <c r="E47" s="5" t="s">
        <v>18</v>
      </c>
      <c r="F47" s="6">
        <v>178</v>
      </c>
      <c r="G47" s="6">
        <v>874</v>
      </c>
      <c r="H47" s="6">
        <v>463</v>
      </c>
      <c r="I47" s="6">
        <v>411</v>
      </c>
      <c r="J47" s="17">
        <f t="shared" si="0"/>
        <v>887.68898488120954</v>
      </c>
      <c r="K47" s="6">
        <v>276</v>
      </c>
      <c r="L47" s="6">
        <v>138</v>
      </c>
      <c r="M47" s="6">
        <v>138</v>
      </c>
      <c r="N47" s="7">
        <f t="shared" si="1"/>
        <v>31.578947368421051</v>
      </c>
      <c r="O47" s="6">
        <v>524</v>
      </c>
      <c r="P47" s="6">
        <v>302</v>
      </c>
      <c r="Q47" s="6">
        <v>222</v>
      </c>
      <c r="R47" s="7">
        <v>67.700258397932828</v>
      </c>
      <c r="S47" s="7">
        <v>74.201474201474198</v>
      </c>
      <c r="T47" s="7">
        <v>60.490463215258863</v>
      </c>
      <c r="U47" s="15">
        <f t="shared" si="2"/>
        <v>2</v>
      </c>
    </row>
    <row r="48" spans="1:21" ht="18.75" customHeight="1">
      <c r="A48" s="16">
        <v>48</v>
      </c>
      <c r="B48" s="3">
        <v>48</v>
      </c>
      <c r="C48" s="4" t="s">
        <v>65</v>
      </c>
      <c r="D48" s="9" t="s">
        <v>441</v>
      </c>
      <c r="E48" s="5" t="s">
        <v>18</v>
      </c>
      <c r="F48" s="6">
        <v>385</v>
      </c>
      <c r="G48" s="6">
        <v>1940</v>
      </c>
      <c r="H48" s="6">
        <v>1032</v>
      </c>
      <c r="I48" s="6">
        <v>908</v>
      </c>
      <c r="J48" s="17">
        <f t="shared" si="0"/>
        <v>879.84496124031011</v>
      </c>
      <c r="K48" s="6">
        <v>903</v>
      </c>
      <c r="L48" s="6">
        <v>480</v>
      </c>
      <c r="M48" s="6">
        <v>423</v>
      </c>
      <c r="N48" s="7">
        <f t="shared" si="1"/>
        <v>46.546391752577321</v>
      </c>
      <c r="O48" s="6">
        <v>1108</v>
      </c>
      <c r="P48" s="6">
        <v>664</v>
      </c>
      <c r="Q48" s="6">
        <v>444</v>
      </c>
      <c r="R48" s="7">
        <v>67.233009708737868</v>
      </c>
      <c r="S48" s="7">
        <v>76.321839080459768</v>
      </c>
      <c r="T48" s="7">
        <v>57.069408740359897</v>
      </c>
      <c r="U48" s="15">
        <f t="shared" si="2"/>
        <v>2</v>
      </c>
    </row>
    <row r="49" spans="1:21" ht="18.75" customHeight="1">
      <c r="A49" s="16">
        <v>49</v>
      </c>
      <c r="B49" s="3">
        <v>49</v>
      </c>
      <c r="C49" s="4" t="s">
        <v>66</v>
      </c>
      <c r="D49" s="9" t="s">
        <v>441</v>
      </c>
      <c r="E49" s="5" t="s">
        <v>18</v>
      </c>
      <c r="F49" s="6">
        <v>1005</v>
      </c>
      <c r="G49" s="6">
        <v>5182</v>
      </c>
      <c r="H49" s="6">
        <v>2636</v>
      </c>
      <c r="I49" s="6">
        <v>2546</v>
      </c>
      <c r="J49" s="17">
        <f t="shared" si="0"/>
        <v>965.85735963581192</v>
      </c>
      <c r="K49" s="6">
        <v>430</v>
      </c>
      <c r="L49" s="6">
        <v>217</v>
      </c>
      <c r="M49" s="6">
        <v>213</v>
      </c>
      <c r="N49" s="7">
        <f t="shared" si="1"/>
        <v>8.2979544577383262</v>
      </c>
      <c r="O49" s="6">
        <v>3210</v>
      </c>
      <c r="P49" s="6">
        <v>1734</v>
      </c>
      <c r="Q49" s="6">
        <v>1476</v>
      </c>
      <c r="R49" s="7">
        <v>70.876573194965772</v>
      </c>
      <c r="S49" s="7">
        <v>76.759628154050461</v>
      </c>
      <c r="T49" s="7">
        <v>65.022026431718061</v>
      </c>
      <c r="U49" s="15">
        <f t="shared" si="2"/>
        <v>1</v>
      </c>
    </row>
    <row r="50" spans="1:21" ht="18.75" customHeight="1">
      <c r="A50" s="16">
        <v>50</v>
      </c>
      <c r="B50" s="3">
        <v>50</v>
      </c>
      <c r="C50" s="4" t="s">
        <v>67</v>
      </c>
      <c r="D50" s="9" t="s">
        <v>441</v>
      </c>
      <c r="E50" s="5" t="s">
        <v>18</v>
      </c>
      <c r="F50" s="6">
        <v>251</v>
      </c>
      <c r="G50" s="6">
        <v>1375</v>
      </c>
      <c r="H50" s="6">
        <v>725</v>
      </c>
      <c r="I50" s="6">
        <v>650</v>
      </c>
      <c r="J50" s="17">
        <f t="shared" si="0"/>
        <v>896.55172413793105</v>
      </c>
      <c r="K50" s="6">
        <v>625</v>
      </c>
      <c r="L50" s="6">
        <v>319</v>
      </c>
      <c r="M50" s="6">
        <v>306</v>
      </c>
      <c r="N50" s="7">
        <f t="shared" si="1"/>
        <v>45.454545454545453</v>
      </c>
      <c r="O50" s="6">
        <v>862</v>
      </c>
      <c r="P50" s="6">
        <v>508</v>
      </c>
      <c r="Q50" s="6">
        <v>354</v>
      </c>
      <c r="R50" s="7">
        <v>72.681281618887013</v>
      </c>
      <c r="S50" s="7">
        <v>80.634920634920633</v>
      </c>
      <c r="T50" s="7">
        <v>63.669064748201443</v>
      </c>
      <c r="U50" s="15">
        <f t="shared" si="2"/>
        <v>2</v>
      </c>
    </row>
    <row r="51" spans="1:21" ht="18.75" customHeight="1">
      <c r="A51" s="16">
        <v>51</v>
      </c>
      <c r="B51" s="3">
        <v>51</v>
      </c>
      <c r="C51" s="4" t="s">
        <v>68</v>
      </c>
      <c r="D51" s="9" t="s">
        <v>441</v>
      </c>
      <c r="E51" s="5" t="s">
        <v>18</v>
      </c>
      <c r="F51" s="6">
        <v>1046</v>
      </c>
      <c r="G51" s="6">
        <v>5490</v>
      </c>
      <c r="H51" s="6">
        <v>2829</v>
      </c>
      <c r="I51" s="6">
        <v>2661</v>
      </c>
      <c r="J51" s="17">
        <f t="shared" si="0"/>
        <v>940.61505832449632</v>
      </c>
      <c r="K51" s="6">
        <v>1519</v>
      </c>
      <c r="L51" s="6">
        <v>771</v>
      </c>
      <c r="M51" s="6">
        <v>748</v>
      </c>
      <c r="N51" s="7">
        <f t="shared" si="1"/>
        <v>27.668488160291439</v>
      </c>
      <c r="O51" s="6">
        <v>3560</v>
      </c>
      <c r="P51" s="6">
        <v>2058</v>
      </c>
      <c r="Q51" s="6">
        <v>1502</v>
      </c>
      <c r="R51" s="7">
        <v>74.931593348768672</v>
      </c>
      <c r="S51" s="7">
        <v>84.413453650533228</v>
      </c>
      <c r="T51" s="7">
        <v>64.937310851707736</v>
      </c>
      <c r="U51" s="15">
        <f t="shared" si="2"/>
        <v>1</v>
      </c>
    </row>
    <row r="52" spans="1:21" ht="18.75" customHeight="1">
      <c r="A52" s="16">
        <v>52</v>
      </c>
      <c r="B52" s="3">
        <v>52</v>
      </c>
      <c r="C52" s="4" t="s">
        <v>69</v>
      </c>
      <c r="D52" s="9" t="s">
        <v>441</v>
      </c>
      <c r="E52" s="5" t="s">
        <v>18</v>
      </c>
      <c r="F52" s="6">
        <v>156</v>
      </c>
      <c r="G52" s="6">
        <v>845</v>
      </c>
      <c r="H52" s="6">
        <v>438</v>
      </c>
      <c r="I52" s="6">
        <v>407</v>
      </c>
      <c r="J52" s="17">
        <f t="shared" si="0"/>
        <v>929.22374429223737</v>
      </c>
      <c r="K52" s="6">
        <v>5</v>
      </c>
      <c r="L52" s="6">
        <v>4</v>
      </c>
      <c r="M52" s="6">
        <v>1</v>
      </c>
      <c r="N52" s="7">
        <f t="shared" si="1"/>
        <v>0.59171597633136097</v>
      </c>
      <c r="O52" s="6">
        <v>585</v>
      </c>
      <c r="P52" s="6">
        <v>345</v>
      </c>
      <c r="Q52" s="6">
        <v>240</v>
      </c>
      <c r="R52" s="7">
        <v>76.271186440677965</v>
      </c>
      <c r="S52" s="7">
        <v>87.341772151898738</v>
      </c>
      <c r="T52" s="7">
        <v>64.516129032258064</v>
      </c>
      <c r="U52" s="15">
        <f t="shared" si="2"/>
        <v>1</v>
      </c>
    </row>
    <row r="53" spans="1:21" ht="18.75" customHeight="1">
      <c r="A53" s="16">
        <v>53</v>
      </c>
      <c r="B53" s="3">
        <v>53</v>
      </c>
      <c r="C53" s="4" t="s">
        <v>70</v>
      </c>
      <c r="D53" s="9" t="s">
        <v>441</v>
      </c>
      <c r="E53" s="5" t="s">
        <v>18</v>
      </c>
      <c r="F53" s="6">
        <v>126</v>
      </c>
      <c r="G53" s="6">
        <v>651</v>
      </c>
      <c r="H53" s="6">
        <v>329</v>
      </c>
      <c r="I53" s="6">
        <v>322</v>
      </c>
      <c r="J53" s="17">
        <f t="shared" si="0"/>
        <v>978.72340425531911</v>
      </c>
      <c r="K53" s="6">
        <v>30</v>
      </c>
      <c r="L53" s="6">
        <v>15</v>
      </c>
      <c r="M53" s="6">
        <v>15</v>
      </c>
      <c r="N53" s="7">
        <f t="shared" si="1"/>
        <v>4.6082949308755765</v>
      </c>
      <c r="O53" s="6">
        <v>401</v>
      </c>
      <c r="P53" s="6">
        <v>223</v>
      </c>
      <c r="Q53" s="6">
        <v>178</v>
      </c>
      <c r="R53" s="7">
        <v>71.479500891265602</v>
      </c>
      <c r="S53" s="7">
        <v>78.798586572438168</v>
      </c>
      <c r="T53" s="7">
        <v>64.02877697841727</v>
      </c>
      <c r="U53" s="15">
        <f t="shared" si="2"/>
        <v>1</v>
      </c>
    </row>
    <row r="54" spans="1:21" ht="18.75" customHeight="1">
      <c r="A54" s="16">
        <v>55</v>
      </c>
      <c r="B54" s="3">
        <v>55</v>
      </c>
      <c r="C54" s="4" t="s">
        <v>72</v>
      </c>
      <c r="D54" s="9" t="s">
        <v>441</v>
      </c>
      <c r="E54" s="5" t="s">
        <v>18</v>
      </c>
      <c r="F54" s="6">
        <v>204</v>
      </c>
      <c r="G54" s="6">
        <v>1127</v>
      </c>
      <c r="H54" s="6">
        <v>589</v>
      </c>
      <c r="I54" s="6">
        <v>538</v>
      </c>
      <c r="J54" s="17">
        <f t="shared" si="0"/>
        <v>913.41256366723258</v>
      </c>
      <c r="K54" s="6">
        <v>401</v>
      </c>
      <c r="L54" s="6">
        <v>208</v>
      </c>
      <c r="M54" s="6">
        <v>193</v>
      </c>
      <c r="N54" s="7">
        <f t="shared" si="1"/>
        <v>35.581188997338067</v>
      </c>
      <c r="O54" s="6">
        <v>691</v>
      </c>
      <c r="P54" s="6">
        <v>394</v>
      </c>
      <c r="Q54" s="6">
        <v>297</v>
      </c>
      <c r="R54" s="7">
        <v>71.458117890382624</v>
      </c>
      <c r="S54" s="7">
        <v>78.642714570858288</v>
      </c>
      <c r="T54" s="7">
        <v>63.733905579399142</v>
      </c>
      <c r="U54" s="15">
        <f t="shared" si="2"/>
        <v>1</v>
      </c>
    </row>
    <row r="55" spans="1:21" ht="18.75" customHeight="1">
      <c r="A55" s="16">
        <v>56</v>
      </c>
      <c r="B55" s="3">
        <v>56</v>
      </c>
      <c r="C55" s="4" t="s">
        <v>73</v>
      </c>
      <c r="D55" s="9" t="s">
        <v>441</v>
      </c>
      <c r="E55" s="5" t="s">
        <v>18</v>
      </c>
      <c r="F55" s="6">
        <v>196</v>
      </c>
      <c r="G55" s="6">
        <v>963</v>
      </c>
      <c r="H55" s="6">
        <v>515</v>
      </c>
      <c r="I55" s="6">
        <v>448</v>
      </c>
      <c r="J55" s="17">
        <f t="shared" si="0"/>
        <v>869.90291262135918</v>
      </c>
      <c r="K55" s="6">
        <v>1</v>
      </c>
      <c r="L55" s="6">
        <v>1</v>
      </c>
      <c r="M55" s="6">
        <v>0</v>
      </c>
      <c r="N55" s="7">
        <f t="shared" si="1"/>
        <v>0.10384215991692627</v>
      </c>
      <c r="O55" s="6">
        <v>648</v>
      </c>
      <c r="P55" s="6">
        <v>390</v>
      </c>
      <c r="Q55" s="6">
        <v>258</v>
      </c>
      <c r="R55" s="7">
        <v>78.166465621230401</v>
      </c>
      <c r="S55" s="7">
        <v>88.235294117647058</v>
      </c>
      <c r="T55" s="7">
        <v>66.666666666666657</v>
      </c>
      <c r="U55" s="15">
        <f t="shared" si="2"/>
        <v>2</v>
      </c>
    </row>
    <row r="56" spans="1:21" ht="18.75" customHeight="1">
      <c r="A56" s="16">
        <v>57</v>
      </c>
      <c r="B56" s="3">
        <v>57</v>
      </c>
      <c r="C56" s="4" t="s">
        <v>74</v>
      </c>
      <c r="D56" s="9" t="s">
        <v>441</v>
      </c>
      <c r="E56" s="5" t="s">
        <v>18</v>
      </c>
      <c r="F56" s="6">
        <v>42</v>
      </c>
      <c r="G56" s="6">
        <v>201</v>
      </c>
      <c r="H56" s="6">
        <v>107</v>
      </c>
      <c r="I56" s="6">
        <v>94</v>
      </c>
      <c r="J56" s="17">
        <f t="shared" si="0"/>
        <v>878.5046728971962</v>
      </c>
      <c r="K56" s="6">
        <v>12</v>
      </c>
      <c r="L56" s="6">
        <v>6</v>
      </c>
      <c r="M56" s="6">
        <v>6</v>
      </c>
      <c r="N56" s="7">
        <f t="shared" si="1"/>
        <v>5.9701492537313428</v>
      </c>
      <c r="O56" s="6">
        <v>160</v>
      </c>
      <c r="P56" s="6">
        <v>92</v>
      </c>
      <c r="Q56" s="6">
        <v>68</v>
      </c>
      <c r="R56" s="7">
        <v>84.210526315789465</v>
      </c>
      <c r="S56" s="7">
        <v>92.929292929292927</v>
      </c>
      <c r="T56" s="7">
        <v>74.72527472527473</v>
      </c>
      <c r="U56" s="15">
        <f t="shared" si="2"/>
        <v>2</v>
      </c>
    </row>
    <row r="57" spans="1:21" ht="18.75" customHeight="1">
      <c r="A57" s="16">
        <v>58</v>
      </c>
      <c r="B57" s="3">
        <v>58</v>
      </c>
      <c r="C57" s="4" t="s">
        <v>75</v>
      </c>
      <c r="D57" s="9" t="s">
        <v>441</v>
      </c>
      <c r="E57" s="5" t="s">
        <v>18</v>
      </c>
      <c r="F57" s="6">
        <v>13</v>
      </c>
      <c r="G57" s="6">
        <v>97</v>
      </c>
      <c r="H57" s="6">
        <v>52</v>
      </c>
      <c r="I57" s="6">
        <v>45</v>
      </c>
      <c r="J57" s="17">
        <f t="shared" si="0"/>
        <v>865.38461538461547</v>
      </c>
      <c r="K57" s="6">
        <v>10</v>
      </c>
      <c r="L57" s="6">
        <v>5</v>
      </c>
      <c r="M57" s="6">
        <v>5</v>
      </c>
      <c r="N57" s="7">
        <f t="shared" si="1"/>
        <v>10.309278350515463</v>
      </c>
      <c r="O57" s="6">
        <v>75</v>
      </c>
      <c r="P57" s="6">
        <v>43</v>
      </c>
      <c r="Q57" s="6">
        <v>32</v>
      </c>
      <c r="R57" s="7">
        <v>84.269662921348313</v>
      </c>
      <c r="S57" s="7">
        <v>89.583333333333343</v>
      </c>
      <c r="T57" s="7">
        <v>78.048780487804876</v>
      </c>
      <c r="U57" s="15">
        <f t="shared" si="2"/>
        <v>2</v>
      </c>
    </row>
    <row r="58" spans="1:21" ht="18.75" customHeight="1">
      <c r="A58" s="16">
        <v>59</v>
      </c>
      <c r="B58" s="3">
        <v>59</v>
      </c>
      <c r="C58" s="4" t="s">
        <v>76</v>
      </c>
      <c r="D58" s="9" t="s">
        <v>441</v>
      </c>
      <c r="E58" s="5" t="s">
        <v>18</v>
      </c>
      <c r="F58" s="6">
        <v>385</v>
      </c>
      <c r="G58" s="6">
        <v>2001</v>
      </c>
      <c r="H58" s="6">
        <v>1071</v>
      </c>
      <c r="I58" s="6">
        <v>930</v>
      </c>
      <c r="J58" s="17">
        <f t="shared" si="0"/>
        <v>868.34733893557427</v>
      </c>
      <c r="K58" s="6">
        <v>976</v>
      </c>
      <c r="L58" s="6">
        <v>518</v>
      </c>
      <c r="M58" s="6">
        <v>458</v>
      </c>
      <c r="N58" s="7">
        <f t="shared" si="1"/>
        <v>48.775612193903051</v>
      </c>
      <c r="O58" s="6">
        <v>1234</v>
      </c>
      <c r="P58" s="6">
        <v>739</v>
      </c>
      <c r="Q58" s="6">
        <v>495</v>
      </c>
      <c r="R58" s="7">
        <v>71.953352769679299</v>
      </c>
      <c r="S58" s="7">
        <v>82.01997780244173</v>
      </c>
      <c r="T58" s="7">
        <v>60.810810810810814</v>
      </c>
      <c r="U58" s="15">
        <f t="shared" si="2"/>
        <v>2</v>
      </c>
    </row>
    <row r="59" spans="1:21" ht="18.75" customHeight="1">
      <c r="A59" s="16">
        <v>60</v>
      </c>
      <c r="B59" s="3">
        <v>60</v>
      </c>
      <c r="C59" s="4" t="s">
        <v>77</v>
      </c>
      <c r="D59" s="9" t="s">
        <v>441</v>
      </c>
      <c r="E59" s="5" t="s">
        <v>18</v>
      </c>
      <c r="F59" s="6">
        <v>176</v>
      </c>
      <c r="G59" s="6">
        <v>961</v>
      </c>
      <c r="H59" s="6">
        <v>495</v>
      </c>
      <c r="I59" s="6">
        <v>466</v>
      </c>
      <c r="J59" s="17">
        <f t="shared" si="0"/>
        <v>941.41414141414134</v>
      </c>
      <c r="K59" s="6">
        <v>254</v>
      </c>
      <c r="L59" s="6">
        <v>130</v>
      </c>
      <c r="M59" s="6">
        <v>124</v>
      </c>
      <c r="N59" s="7">
        <f t="shared" si="1"/>
        <v>26.430801248699272</v>
      </c>
      <c r="O59" s="6">
        <v>590</v>
      </c>
      <c r="P59" s="6">
        <v>344</v>
      </c>
      <c r="Q59" s="6">
        <v>246</v>
      </c>
      <c r="R59" s="7">
        <v>69.167643610785461</v>
      </c>
      <c r="S59" s="7">
        <v>78.181818181818187</v>
      </c>
      <c r="T59" s="7">
        <v>59.564164648910413</v>
      </c>
      <c r="U59" s="15">
        <f t="shared" si="2"/>
        <v>1</v>
      </c>
    </row>
    <row r="60" spans="1:21" ht="18.75" customHeight="1">
      <c r="A60" s="16">
        <v>61</v>
      </c>
      <c r="B60" s="3">
        <v>61</v>
      </c>
      <c r="C60" s="4" t="s">
        <v>78</v>
      </c>
      <c r="D60" s="9" t="s">
        <v>441</v>
      </c>
      <c r="E60" s="5" t="s">
        <v>18</v>
      </c>
      <c r="F60" s="6">
        <v>364</v>
      </c>
      <c r="G60" s="6">
        <v>1802</v>
      </c>
      <c r="H60" s="6">
        <v>962</v>
      </c>
      <c r="I60" s="6">
        <v>840</v>
      </c>
      <c r="J60" s="17">
        <f t="shared" si="0"/>
        <v>873.18087318087328</v>
      </c>
      <c r="K60" s="6">
        <v>674</v>
      </c>
      <c r="L60" s="6">
        <v>373</v>
      </c>
      <c r="M60" s="6">
        <v>301</v>
      </c>
      <c r="N60" s="7">
        <f t="shared" si="1"/>
        <v>37.402885682574919</v>
      </c>
      <c r="O60" s="6">
        <v>1190</v>
      </c>
      <c r="P60" s="6">
        <v>687</v>
      </c>
      <c r="Q60" s="6">
        <v>503</v>
      </c>
      <c r="R60" s="7">
        <v>74.468085106382972</v>
      </c>
      <c r="S60" s="7">
        <v>81.39810426540285</v>
      </c>
      <c r="T60" s="7">
        <v>66.710875331564992</v>
      </c>
      <c r="U60" s="15">
        <f t="shared" si="2"/>
        <v>2</v>
      </c>
    </row>
    <row r="61" spans="1:21" ht="18.75" customHeight="1">
      <c r="A61" s="16">
        <v>62</v>
      </c>
      <c r="B61" s="3">
        <v>62</v>
      </c>
      <c r="C61" s="4" t="s">
        <v>79</v>
      </c>
      <c r="D61" s="9" t="s">
        <v>441</v>
      </c>
      <c r="E61" s="5" t="s">
        <v>18</v>
      </c>
      <c r="F61" s="6">
        <v>386</v>
      </c>
      <c r="G61" s="6">
        <v>1854</v>
      </c>
      <c r="H61" s="6">
        <v>1001</v>
      </c>
      <c r="I61" s="6">
        <v>853</v>
      </c>
      <c r="J61" s="17">
        <f t="shared" si="0"/>
        <v>852.14785214785218</v>
      </c>
      <c r="K61" s="6">
        <v>471</v>
      </c>
      <c r="L61" s="6">
        <v>249</v>
      </c>
      <c r="M61" s="6">
        <v>222</v>
      </c>
      <c r="N61" s="7">
        <f t="shared" si="1"/>
        <v>25.404530744336569</v>
      </c>
      <c r="O61" s="6">
        <v>1158</v>
      </c>
      <c r="P61" s="6">
        <v>696</v>
      </c>
      <c r="Q61" s="6">
        <v>462</v>
      </c>
      <c r="R61" s="7">
        <v>71.13022113022113</v>
      </c>
      <c r="S61" s="7">
        <v>79.452054794520549</v>
      </c>
      <c r="T61" s="7">
        <v>61.436170212765958</v>
      </c>
      <c r="U61" s="15">
        <f t="shared" si="2"/>
        <v>2</v>
      </c>
    </row>
    <row r="62" spans="1:21" ht="18.75" customHeight="1">
      <c r="A62" s="16">
        <v>63</v>
      </c>
      <c r="B62" s="3">
        <v>63</v>
      </c>
      <c r="C62" s="4" t="s">
        <v>80</v>
      </c>
      <c r="D62" s="9" t="s">
        <v>441</v>
      </c>
      <c r="E62" s="5" t="s">
        <v>18</v>
      </c>
      <c r="F62" s="6">
        <v>269</v>
      </c>
      <c r="G62" s="6">
        <v>1413</v>
      </c>
      <c r="H62" s="6">
        <v>729</v>
      </c>
      <c r="I62" s="6">
        <v>684</v>
      </c>
      <c r="J62" s="17">
        <f t="shared" si="0"/>
        <v>938.27160493827159</v>
      </c>
      <c r="K62" s="6">
        <v>277</v>
      </c>
      <c r="L62" s="6">
        <v>140</v>
      </c>
      <c r="M62" s="6">
        <v>137</v>
      </c>
      <c r="N62" s="7">
        <f t="shared" si="1"/>
        <v>19.603680113234255</v>
      </c>
      <c r="O62" s="6">
        <v>922</v>
      </c>
      <c r="P62" s="6">
        <v>516</v>
      </c>
      <c r="Q62" s="6">
        <v>406</v>
      </c>
      <c r="R62" s="7">
        <v>73.524720893141946</v>
      </c>
      <c r="S62" s="7">
        <v>80.373831775700936</v>
      </c>
      <c r="T62" s="7">
        <v>66.33986928104575</v>
      </c>
      <c r="U62" s="15">
        <f t="shared" si="2"/>
        <v>1</v>
      </c>
    </row>
    <row r="63" spans="1:21" ht="18.75" customHeight="1">
      <c r="A63" s="16">
        <v>64</v>
      </c>
      <c r="B63" s="3">
        <v>1</v>
      </c>
      <c r="C63" s="4" t="s">
        <v>81</v>
      </c>
      <c r="D63" s="9" t="s">
        <v>441</v>
      </c>
      <c r="E63" s="5" t="s">
        <v>82</v>
      </c>
      <c r="F63" s="6">
        <v>209</v>
      </c>
      <c r="G63" s="6">
        <v>1105</v>
      </c>
      <c r="H63" s="6">
        <v>596</v>
      </c>
      <c r="I63" s="6">
        <v>509</v>
      </c>
      <c r="J63" s="17">
        <f t="shared" si="0"/>
        <v>854.02684563758396</v>
      </c>
      <c r="K63" s="6">
        <v>403</v>
      </c>
      <c r="L63" s="6">
        <v>224</v>
      </c>
      <c r="M63" s="6">
        <v>179</v>
      </c>
      <c r="N63" s="7">
        <f t="shared" si="1"/>
        <v>36.470588235294116</v>
      </c>
      <c r="O63" s="6">
        <v>744</v>
      </c>
      <c r="P63" s="6">
        <v>451</v>
      </c>
      <c r="Q63" s="6">
        <v>293</v>
      </c>
      <c r="R63" s="7">
        <v>76.780185758513937</v>
      </c>
      <c r="S63" s="7">
        <v>86.730769230769226</v>
      </c>
      <c r="T63" s="7">
        <v>65.256124721603555</v>
      </c>
      <c r="U63" s="15">
        <f t="shared" si="2"/>
        <v>2</v>
      </c>
    </row>
    <row r="64" spans="1:21" ht="18.75" customHeight="1">
      <c r="A64" s="16">
        <v>65</v>
      </c>
      <c r="B64" s="3">
        <v>2</v>
      </c>
      <c r="C64" s="4" t="s">
        <v>83</v>
      </c>
      <c r="D64" s="9" t="s">
        <v>441</v>
      </c>
      <c r="E64" s="5" t="s">
        <v>82</v>
      </c>
      <c r="F64" s="6">
        <v>240</v>
      </c>
      <c r="G64" s="6">
        <v>1283</v>
      </c>
      <c r="H64" s="6">
        <v>699</v>
      </c>
      <c r="I64" s="6">
        <v>584</v>
      </c>
      <c r="J64" s="17">
        <f t="shared" si="0"/>
        <v>835.4792560801144</v>
      </c>
      <c r="K64" s="6">
        <v>281</v>
      </c>
      <c r="L64" s="6">
        <v>156</v>
      </c>
      <c r="M64" s="6">
        <v>125</v>
      </c>
      <c r="N64" s="7">
        <f t="shared" si="1"/>
        <v>21.901792673421667</v>
      </c>
      <c r="O64" s="6">
        <v>879</v>
      </c>
      <c r="P64" s="6">
        <v>519</v>
      </c>
      <c r="Q64" s="6">
        <v>360</v>
      </c>
      <c r="R64" s="7">
        <v>77.376760563380287</v>
      </c>
      <c r="S64" s="7">
        <v>85.502471169686984</v>
      </c>
      <c r="T64" s="7">
        <v>68.052930056710764</v>
      </c>
      <c r="U64" s="15">
        <f t="shared" si="2"/>
        <v>2</v>
      </c>
    </row>
    <row r="65" spans="1:21" ht="18.75" customHeight="1">
      <c r="A65" s="16">
        <v>66</v>
      </c>
      <c r="B65" s="3">
        <v>3</v>
      </c>
      <c r="C65" s="4" t="s">
        <v>84</v>
      </c>
      <c r="D65" s="9" t="s">
        <v>441</v>
      </c>
      <c r="E65" s="5" t="s">
        <v>82</v>
      </c>
      <c r="F65" s="6">
        <v>424</v>
      </c>
      <c r="G65" s="6">
        <v>2169</v>
      </c>
      <c r="H65" s="6">
        <v>1111</v>
      </c>
      <c r="I65" s="6">
        <v>1058</v>
      </c>
      <c r="J65" s="17">
        <f t="shared" si="0"/>
        <v>952.29522952295235</v>
      </c>
      <c r="K65" s="6">
        <v>1344</v>
      </c>
      <c r="L65" s="6">
        <v>692</v>
      </c>
      <c r="M65" s="6">
        <v>652</v>
      </c>
      <c r="N65" s="7">
        <f t="shared" si="1"/>
        <v>61.964038727524205</v>
      </c>
      <c r="O65" s="6">
        <v>1415</v>
      </c>
      <c r="P65" s="6">
        <v>766</v>
      </c>
      <c r="Q65" s="6">
        <v>649</v>
      </c>
      <c r="R65" s="7">
        <v>75.2659574468085</v>
      </c>
      <c r="S65" s="7">
        <v>79.050567595459228</v>
      </c>
      <c r="T65" s="7">
        <v>71.240395170142705</v>
      </c>
      <c r="U65" s="15">
        <f t="shared" si="2"/>
        <v>1</v>
      </c>
    </row>
    <row r="66" spans="1:21" ht="18.75" customHeight="1">
      <c r="A66" s="16">
        <v>67</v>
      </c>
      <c r="B66" s="3">
        <v>4</v>
      </c>
      <c r="C66" s="4" t="s">
        <v>85</v>
      </c>
      <c r="D66" s="9" t="s">
        <v>441</v>
      </c>
      <c r="E66" s="5" t="s">
        <v>82</v>
      </c>
      <c r="F66" s="6">
        <v>620</v>
      </c>
      <c r="G66" s="6">
        <v>3249</v>
      </c>
      <c r="H66" s="6">
        <v>1690</v>
      </c>
      <c r="I66" s="6">
        <v>1559</v>
      </c>
      <c r="J66" s="17">
        <f t="shared" ref="J66:J129" si="3">I66/H66*1000</f>
        <v>922.48520710059165</v>
      </c>
      <c r="K66" s="6">
        <v>438</v>
      </c>
      <c r="L66" s="6">
        <v>218</v>
      </c>
      <c r="M66" s="6">
        <v>220</v>
      </c>
      <c r="N66" s="7">
        <f t="shared" ref="N66:N129" si="4">K66/G66*100</f>
        <v>13.48107109879963</v>
      </c>
      <c r="O66" s="6">
        <v>2155</v>
      </c>
      <c r="P66" s="6">
        <v>1219</v>
      </c>
      <c r="Q66" s="6">
        <v>936</v>
      </c>
      <c r="R66" s="7">
        <v>75.960521677828694</v>
      </c>
      <c r="S66" s="7">
        <v>83.32194121667807</v>
      </c>
      <c r="T66" s="7">
        <v>68.122270742358083</v>
      </c>
      <c r="U66" s="15">
        <f t="shared" si="2"/>
        <v>1</v>
      </c>
    </row>
    <row r="67" spans="1:21" ht="18.75" customHeight="1">
      <c r="A67" s="16">
        <v>68</v>
      </c>
      <c r="B67" s="3">
        <v>5</v>
      </c>
      <c r="C67" s="4" t="s">
        <v>86</v>
      </c>
      <c r="D67" s="9" t="s">
        <v>441</v>
      </c>
      <c r="E67" s="5" t="s">
        <v>82</v>
      </c>
      <c r="F67" s="6">
        <v>193</v>
      </c>
      <c r="G67" s="6">
        <v>933</v>
      </c>
      <c r="H67" s="6">
        <v>486</v>
      </c>
      <c r="I67" s="6">
        <v>447</v>
      </c>
      <c r="J67" s="17">
        <f t="shared" si="3"/>
        <v>919.75308641975312</v>
      </c>
      <c r="K67" s="6">
        <v>386</v>
      </c>
      <c r="L67" s="6">
        <v>205</v>
      </c>
      <c r="M67" s="6">
        <v>181</v>
      </c>
      <c r="N67" s="7">
        <f t="shared" si="4"/>
        <v>41.371918542336552</v>
      </c>
      <c r="O67" s="6">
        <v>606</v>
      </c>
      <c r="P67" s="6">
        <v>346</v>
      </c>
      <c r="Q67" s="6">
        <v>260</v>
      </c>
      <c r="R67" s="7">
        <v>74.538745387453872</v>
      </c>
      <c r="S67" s="7">
        <v>80.652680652680658</v>
      </c>
      <c r="T67" s="7">
        <v>67.708333333333343</v>
      </c>
      <c r="U67" s="15">
        <f t="shared" ref="U67:U130" si="5">IF($J67&gt;900,1,IF($J67&gt;800,2,IF($J67&gt;700,3,0)))</f>
        <v>1</v>
      </c>
    </row>
    <row r="68" spans="1:21" ht="18.75" customHeight="1">
      <c r="A68" s="16">
        <v>69</v>
      </c>
      <c r="B68" s="3">
        <v>6</v>
      </c>
      <c r="C68" s="4" t="s">
        <v>87</v>
      </c>
      <c r="D68" s="9" t="s">
        <v>441</v>
      </c>
      <c r="E68" s="5" t="s">
        <v>82</v>
      </c>
      <c r="F68" s="6">
        <v>268</v>
      </c>
      <c r="G68" s="6">
        <v>1372</v>
      </c>
      <c r="H68" s="6">
        <v>736</v>
      </c>
      <c r="I68" s="6">
        <v>636</v>
      </c>
      <c r="J68" s="17">
        <f t="shared" si="3"/>
        <v>864.13043478260863</v>
      </c>
      <c r="K68" s="6">
        <v>347</v>
      </c>
      <c r="L68" s="6">
        <v>180</v>
      </c>
      <c r="M68" s="6">
        <v>167</v>
      </c>
      <c r="N68" s="7">
        <f t="shared" si="4"/>
        <v>25.291545189504372</v>
      </c>
      <c r="O68" s="6">
        <v>858</v>
      </c>
      <c r="P68" s="6">
        <v>504</v>
      </c>
      <c r="Q68" s="6">
        <v>354</v>
      </c>
      <c r="R68" s="7">
        <v>70.909090909090907</v>
      </c>
      <c r="S68" s="7">
        <v>78.873239436619713</v>
      </c>
      <c r="T68" s="7">
        <v>61.996497373029769</v>
      </c>
      <c r="U68" s="15">
        <f t="shared" si="5"/>
        <v>2</v>
      </c>
    </row>
    <row r="69" spans="1:21" ht="18.75" customHeight="1">
      <c r="A69" s="16">
        <v>70</v>
      </c>
      <c r="B69" s="3">
        <v>7</v>
      </c>
      <c r="C69" s="4" t="s">
        <v>88</v>
      </c>
      <c r="D69" s="9" t="s">
        <v>441</v>
      </c>
      <c r="E69" s="5" t="s">
        <v>82</v>
      </c>
      <c r="F69" s="6">
        <v>271</v>
      </c>
      <c r="G69" s="6">
        <v>1350</v>
      </c>
      <c r="H69" s="6">
        <v>711</v>
      </c>
      <c r="I69" s="6">
        <v>639</v>
      </c>
      <c r="J69" s="17">
        <f t="shared" si="3"/>
        <v>898.7341772151899</v>
      </c>
      <c r="K69" s="6">
        <v>321</v>
      </c>
      <c r="L69" s="6">
        <v>167</v>
      </c>
      <c r="M69" s="6">
        <v>154</v>
      </c>
      <c r="N69" s="7">
        <f t="shared" si="4"/>
        <v>23.777777777777779</v>
      </c>
      <c r="O69" s="6">
        <v>905</v>
      </c>
      <c r="P69" s="6">
        <v>542</v>
      </c>
      <c r="Q69" s="6">
        <v>363</v>
      </c>
      <c r="R69" s="7">
        <v>75.041459369817574</v>
      </c>
      <c r="S69" s="7">
        <v>85.354330708661422</v>
      </c>
      <c r="T69" s="7">
        <v>63.572679509632223</v>
      </c>
      <c r="U69" s="15">
        <f t="shared" si="5"/>
        <v>2</v>
      </c>
    </row>
    <row r="70" spans="1:21" ht="18.75" customHeight="1">
      <c r="A70" s="16">
        <v>71</v>
      </c>
      <c r="B70" s="3">
        <v>8</v>
      </c>
      <c r="C70" s="4" t="s">
        <v>89</v>
      </c>
      <c r="D70" s="9" t="s">
        <v>441</v>
      </c>
      <c r="E70" s="5" t="s">
        <v>82</v>
      </c>
      <c r="F70" s="6">
        <v>126</v>
      </c>
      <c r="G70" s="6">
        <v>685</v>
      </c>
      <c r="H70" s="6">
        <v>353</v>
      </c>
      <c r="I70" s="6">
        <v>332</v>
      </c>
      <c r="J70" s="17">
        <f t="shared" si="3"/>
        <v>940.50991501416422</v>
      </c>
      <c r="K70" s="6">
        <v>103</v>
      </c>
      <c r="L70" s="6">
        <v>51</v>
      </c>
      <c r="M70" s="6">
        <v>52</v>
      </c>
      <c r="N70" s="7">
        <f t="shared" si="4"/>
        <v>15.036496350364963</v>
      </c>
      <c r="O70" s="6">
        <v>476</v>
      </c>
      <c r="P70" s="6">
        <v>269</v>
      </c>
      <c r="Q70" s="6">
        <v>207</v>
      </c>
      <c r="R70" s="7">
        <v>78.418451400329488</v>
      </c>
      <c r="S70" s="7">
        <v>85.396825396825392</v>
      </c>
      <c r="T70" s="7">
        <v>70.890410958904098</v>
      </c>
      <c r="U70" s="15">
        <f t="shared" si="5"/>
        <v>1</v>
      </c>
    </row>
    <row r="71" spans="1:21" ht="18.75" customHeight="1">
      <c r="A71" s="16">
        <v>72</v>
      </c>
      <c r="B71" s="3">
        <v>9</v>
      </c>
      <c r="C71" s="4" t="s">
        <v>90</v>
      </c>
      <c r="D71" s="9" t="s">
        <v>441</v>
      </c>
      <c r="E71" s="5" t="s">
        <v>82</v>
      </c>
      <c r="F71" s="6">
        <v>406</v>
      </c>
      <c r="G71" s="6">
        <v>2096</v>
      </c>
      <c r="H71" s="6">
        <v>1096</v>
      </c>
      <c r="I71" s="6">
        <v>1000</v>
      </c>
      <c r="J71" s="17">
        <f t="shared" si="3"/>
        <v>912.40875912408762</v>
      </c>
      <c r="K71" s="6">
        <v>169</v>
      </c>
      <c r="L71" s="6">
        <v>77</v>
      </c>
      <c r="M71" s="6">
        <v>92</v>
      </c>
      <c r="N71" s="7">
        <f t="shared" si="4"/>
        <v>8.0629770992366421</v>
      </c>
      <c r="O71" s="6">
        <v>1239</v>
      </c>
      <c r="P71" s="6">
        <v>705</v>
      </c>
      <c r="Q71" s="6">
        <v>534</v>
      </c>
      <c r="R71" s="7">
        <v>67.81609195402298</v>
      </c>
      <c r="S71" s="7">
        <v>73.4375</v>
      </c>
      <c r="T71" s="7">
        <v>61.591695501730101</v>
      </c>
      <c r="U71" s="15">
        <f t="shared" si="5"/>
        <v>1</v>
      </c>
    </row>
    <row r="72" spans="1:21" ht="18.75" customHeight="1">
      <c r="A72" s="16">
        <v>73</v>
      </c>
      <c r="B72" s="3">
        <v>10</v>
      </c>
      <c r="C72" s="4" t="s">
        <v>91</v>
      </c>
      <c r="D72" s="9" t="s">
        <v>441</v>
      </c>
      <c r="E72" s="5" t="s">
        <v>82</v>
      </c>
      <c r="F72" s="6">
        <v>560</v>
      </c>
      <c r="G72" s="6">
        <v>2806</v>
      </c>
      <c r="H72" s="6">
        <v>1501</v>
      </c>
      <c r="I72" s="6">
        <v>1305</v>
      </c>
      <c r="J72" s="17">
        <f t="shared" si="3"/>
        <v>869.4203864090606</v>
      </c>
      <c r="K72" s="6">
        <v>932</v>
      </c>
      <c r="L72" s="6">
        <v>483</v>
      </c>
      <c r="M72" s="6">
        <v>449</v>
      </c>
      <c r="N72" s="7">
        <f t="shared" si="4"/>
        <v>33.214540270848183</v>
      </c>
      <c r="O72" s="6">
        <v>1863</v>
      </c>
      <c r="P72" s="6">
        <v>1081</v>
      </c>
      <c r="Q72" s="6">
        <v>782</v>
      </c>
      <c r="R72" s="7">
        <v>75.578093306288025</v>
      </c>
      <c r="S72" s="7">
        <v>82.393292682926827</v>
      </c>
      <c r="T72" s="7">
        <v>67.823070251517777</v>
      </c>
      <c r="U72" s="15">
        <f t="shared" si="5"/>
        <v>2</v>
      </c>
    </row>
    <row r="73" spans="1:21" ht="18.75" customHeight="1">
      <c r="A73" s="16">
        <v>74</v>
      </c>
      <c r="B73" s="3">
        <v>11</v>
      </c>
      <c r="C73" s="4" t="s">
        <v>92</v>
      </c>
      <c r="D73" s="9" t="s">
        <v>441</v>
      </c>
      <c r="E73" s="5" t="s">
        <v>82</v>
      </c>
      <c r="F73" s="6">
        <v>280</v>
      </c>
      <c r="G73" s="6">
        <v>1256</v>
      </c>
      <c r="H73" s="6">
        <v>693</v>
      </c>
      <c r="I73" s="6">
        <v>563</v>
      </c>
      <c r="J73" s="17">
        <f t="shared" si="3"/>
        <v>812.40981240981239</v>
      </c>
      <c r="K73" s="6">
        <v>458</v>
      </c>
      <c r="L73" s="6">
        <v>243</v>
      </c>
      <c r="M73" s="6">
        <v>215</v>
      </c>
      <c r="N73" s="7">
        <f t="shared" si="4"/>
        <v>36.464968152866241</v>
      </c>
      <c r="O73" s="6">
        <v>760</v>
      </c>
      <c r="P73" s="6">
        <v>456</v>
      </c>
      <c r="Q73" s="6">
        <v>304</v>
      </c>
      <c r="R73" s="7">
        <v>70.370370370370367</v>
      </c>
      <c r="S73" s="7">
        <v>76.638655462184886</v>
      </c>
      <c r="T73" s="7">
        <v>62.680412371134018</v>
      </c>
      <c r="U73" s="15">
        <f t="shared" si="5"/>
        <v>2</v>
      </c>
    </row>
    <row r="74" spans="1:21" ht="18.75" customHeight="1">
      <c r="A74" s="16">
        <v>75</v>
      </c>
      <c r="B74" s="3">
        <v>12</v>
      </c>
      <c r="C74" s="4" t="s">
        <v>93</v>
      </c>
      <c r="D74" s="9" t="s">
        <v>441</v>
      </c>
      <c r="E74" s="5" t="s">
        <v>82</v>
      </c>
      <c r="F74" s="6">
        <v>134</v>
      </c>
      <c r="G74" s="6">
        <v>644</v>
      </c>
      <c r="H74" s="6">
        <v>336</v>
      </c>
      <c r="I74" s="6">
        <v>308</v>
      </c>
      <c r="J74" s="17">
        <f t="shared" si="3"/>
        <v>916.66666666666663</v>
      </c>
      <c r="K74" s="6">
        <v>224</v>
      </c>
      <c r="L74" s="6">
        <v>115</v>
      </c>
      <c r="M74" s="6">
        <v>109</v>
      </c>
      <c r="N74" s="7">
        <f t="shared" si="4"/>
        <v>34.782608695652172</v>
      </c>
      <c r="O74" s="6">
        <v>450</v>
      </c>
      <c r="P74" s="6">
        <v>259</v>
      </c>
      <c r="Q74" s="6">
        <v>191</v>
      </c>
      <c r="R74" s="7">
        <v>78.397212543554005</v>
      </c>
      <c r="S74" s="7">
        <v>88.698630136986296</v>
      </c>
      <c r="T74" s="7">
        <v>67.730496453900713</v>
      </c>
      <c r="U74" s="15">
        <f t="shared" si="5"/>
        <v>1</v>
      </c>
    </row>
    <row r="75" spans="1:21" ht="18.75" customHeight="1">
      <c r="A75" s="16">
        <v>76</v>
      </c>
      <c r="B75" s="3">
        <v>13</v>
      </c>
      <c r="C75" s="4" t="s">
        <v>94</v>
      </c>
      <c r="D75" s="9" t="s">
        <v>441</v>
      </c>
      <c r="E75" s="5" t="s">
        <v>82</v>
      </c>
      <c r="F75" s="6">
        <v>187</v>
      </c>
      <c r="G75" s="6">
        <v>1037</v>
      </c>
      <c r="H75" s="6">
        <v>546</v>
      </c>
      <c r="I75" s="6">
        <v>491</v>
      </c>
      <c r="J75" s="17">
        <f t="shared" si="3"/>
        <v>899.26739926739924</v>
      </c>
      <c r="K75" s="6">
        <v>89</v>
      </c>
      <c r="L75" s="6">
        <v>51</v>
      </c>
      <c r="M75" s="6">
        <v>38</v>
      </c>
      <c r="N75" s="7">
        <f t="shared" si="4"/>
        <v>8.5824493731918992</v>
      </c>
      <c r="O75" s="6">
        <v>692</v>
      </c>
      <c r="P75" s="6">
        <v>400</v>
      </c>
      <c r="Q75" s="6">
        <v>292</v>
      </c>
      <c r="R75" s="7">
        <v>75.62841530054645</v>
      </c>
      <c r="S75" s="7">
        <v>83.333333333333343</v>
      </c>
      <c r="T75" s="7">
        <v>67.1264367816092</v>
      </c>
      <c r="U75" s="15">
        <f t="shared" si="5"/>
        <v>2</v>
      </c>
    </row>
    <row r="76" spans="1:21" ht="18.75" customHeight="1">
      <c r="A76" s="16">
        <v>77</v>
      </c>
      <c r="B76" s="3">
        <v>14</v>
      </c>
      <c r="C76" s="4" t="s">
        <v>95</v>
      </c>
      <c r="D76" s="9" t="s">
        <v>441</v>
      </c>
      <c r="E76" s="5" t="s">
        <v>82</v>
      </c>
      <c r="F76" s="6">
        <v>205</v>
      </c>
      <c r="G76" s="6">
        <v>1176</v>
      </c>
      <c r="H76" s="6">
        <v>634</v>
      </c>
      <c r="I76" s="6">
        <v>542</v>
      </c>
      <c r="J76" s="17">
        <f t="shared" si="3"/>
        <v>854.88958990536275</v>
      </c>
      <c r="K76" s="6">
        <v>161</v>
      </c>
      <c r="L76" s="6">
        <v>84</v>
      </c>
      <c r="M76" s="6">
        <v>77</v>
      </c>
      <c r="N76" s="7">
        <f t="shared" si="4"/>
        <v>13.690476190476192</v>
      </c>
      <c r="O76" s="6">
        <v>849</v>
      </c>
      <c r="P76" s="6">
        <v>507</v>
      </c>
      <c r="Q76" s="6">
        <v>342</v>
      </c>
      <c r="R76" s="7">
        <v>80.934223069590089</v>
      </c>
      <c r="S76" s="7">
        <v>90.213523131672602</v>
      </c>
      <c r="T76" s="7">
        <v>70.225872689938399</v>
      </c>
      <c r="U76" s="15">
        <f t="shared" si="5"/>
        <v>2</v>
      </c>
    </row>
    <row r="77" spans="1:21" ht="18.75" customHeight="1">
      <c r="A77" s="16">
        <v>78</v>
      </c>
      <c r="B77" s="3">
        <v>15</v>
      </c>
      <c r="C77" s="4" t="s">
        <v>96</v>
      </c>
      <c r="D77" s="9" t="s">
        <v>441</v>
      </c>
      <c r="E77" s="5" t="s">
        <v>82</v>
      </c>
      <c r="F77" s="6">
        <v>178</v>
      </c>
      <c r="G77" s="6">
        <v>946</v>
      </c>
      <c r="H77" s="6">
        <v>497</v>
      </c>
      <c r="I77" s="6">
        <v>449</v>
      </c>
      <c r="J77" s="17">
        <f t="shared" si="3"/>
        <v>903.420523138833</v>
      </c>
      <c r="K77" s="6">
        <v>476</v>
      </c>
      <c r="L77" s="6">
        <v>255</v>
      </c>
      <c r="M77" s="6">
        <v>221</v>
      </c>
      <c r="N77" s="7">
        <f t="shared" si="4"/>
        <v>50.317124735729394</v>
      </c>
      <c r="O77" s="6">
        <v>658</v>
      </c>
      <c r="P77" s="6">
        <v>385</v>
      </c>
      <c r="Q77" s="6">
        <v>273</v>
      </c>
      <c r="R77" s="7">
        <v>78.614097968936676</v>
      </c>
      <c r="S77" s="7">
        <v>88.914549653579684</v>
      </c>
      <c r="T77" s="7">
        <v>67.574257425742573</v>
      </c>
      <c r="U77" s="15">
        <f t="shared" si="5"/>
        <v>1</v>
      </c>
    </row>
    <row r="78" spans="1:21" ht="18.75" customHeight="1">
      <c r="A78" s="16">
        <v>79</v>
      </c>
      <c r="B78" s="3">
        <v>16</v>
      </c>
      <c r="C78" s="4" t="s">
        <v>97</v>
      </c>
      <c r="D78" s="9" t="s">
        <v>441</v>
      </c>
      <c r="E78" s="5" t="s">
        <v>82</v>
      </c>
      <c r="F78" s="6">
        <v>336</v>
      </c>
      <c r="G78" s="6">
        <v>1869</v>
      </c>
      <c r="H78" s="6">
        <v>971</v>
      </c>
      <c r="I78" s="6">
        <v>898</v>
      </c>
      <c r="J78" s="17">
        <f t="shared" si="3"/>
        <v>924.81977342945424</v>
      </c>
      <c r="K78" s="6">
        <v>484</v>
      </c>
      <c r="L78" s="6">
        <v>249</v>
      </c>
      <c r="M78" s="6">
        <v>235</v>
      </c>
      <c r="N78" s="7">
        <f t="shared" si="4"/>
        <v>25.896201177100053</v>
      </c>
      <c r="O78" s="6">
        <v>1269</v>
      </c>
      <c r="P78" s="6">
        <v>731</v>
      </c>
      <c r="Q78" s="6">
        <v>538</v>
      </c>
      <c r="R78" s="7">
        <v>77.472527472527474</v>
      </c>
      <c r="S78" s="7">
        <v>86.202830188679243</v>
      </c>
      <c r="T78" s="7">
        <v>68.101265822784811</v>
      </c>
      <c r="U78" s="15">
        <f t="shared" si="5"/>
        <v>1</v>
      </c>
    </row>
    <row r="79" spans="1:21" ht="18.75" customHeight="1">
      <c r="A79" s="16">
        <v>80</v>
      </c>
      <c r="B79" s="3">
        <v>17</v>
      </c>
      <c r="C79" s="4" t="s">
        <v>98</v>
      </c>
      <c r="D79" s="9" t="s">
        <v>441</v>
      </c>
      <c r="E79" s="5" t="s">
        <v>82</v>
      </c>
      <c r="F79" s="6">
        <v>260</v>
      </c>
      <c r="G79" s="6">
        <v>1274</v>
      </c>
      <c r="H79" s="6">
        <v>664</v>
      </c>
      <c r="I79" s="6">
        <v>610</v>
      </c>
      <c r="J79" s="17">
        <f t="shared" si="3"/>
        <v>918.67469879518069</v>
      </c>
      <c r="K79" s="6">
        <v>841</v>
      </c>
      <c r="L79" s="6">
        <v>429</v>
      </c>
      <c r="M79" s="6">
        <v>412</v>
      </c>
      <c r="N79" s="7">
        <f t="shared" si="4"/>
        <v>66.012558869701735</v>
      </c>
      <c r="O79" s="6">
        <v>788</v>
      </c>
      <c r="P79" s="6">
        <v>440</v>
      </c>
      <c r="Q79" s="6">
        <v>348</v>
      </c>
      <c r="R79" s="7">
        <v>71.441523118767009</v>
      </c>
      <c r="S79" s="7">
        <v>78.01418439716312</v>
      </c>
      <c r="T79" s="7">
        <v>64.564007421150279</v>
      </c>
      <c r="U79" s="15">
        <f t="shared" si="5"/>
        <v>1</v>
      </c>
    </row>
    <row r="80" spans="1:21" ht="18.75" customHeight="1">
      <c r="A80" s="16">
        <v>81</v>
      </c>
      <c r="B80" s="3">
        <v>18</v>
      </c>
      <c r="C80" s="4" t="s">
        <v>99</v>
      </c>
      <c r="D80" s="9" t="s">
        <v>441</v>
      </c>
      <c r="E80" s="5" t="s">
        <v>82</v>
      </c>
      <c r="F80" s="6">
        <v>393</v>
      </c>
      <c r="G80" s="6">
        <v>1904</v>
      </c>
      <c r="H80" s="6">
        <v>1026</v>
      </c>
      <c r="I80" s="6">
        <v>878</v>
      </c>
      <c r="J80" s="17">
        <f t="shared" si="3"/>
        <v>855.75048732943469</v>
      </c>
      <c r="K80" s="6">
        <v>538</v>
      </c>
      <c r="L80" s="6">
        <v>291</v>
      </c>
      <c r="M80" s="6">
        <v>247</v>
      </c>
      <c r="N80" s="7">
        <f t="shared" si="4"/>
        <v>28.256302521008404</v>
      </c>
      <c r="O80" s="6">
        <v>1198</v>
      </c>
      <c r="P80" s="6">
        <v>694</v>
      </c>
      <c r="Q80" s="6">
        <v>504</v>
      </c>
      <c r="R80" s="7">
        <v>71.865626874625079</v>
      </c>
      <c r="S80" s="7">
        <v>78.329571106094804</v>
      </c>
      <c r="T80" s="7">
        <v>64.5326504481434</v>
      </c>
      <c r="U80" s="15">
        <f t="shared" si="5"/>
        <v>2</v>
      </c>
    </row>
    <row r="81" spans="1:21" ht="18.75" customHeight="1">
      <c r="A81" s="16">
        <v>82</v>
      </c>
      <c r="B81" s="3">
        <v>19</v>
      </c>
      <c r="C81" s="4" t="s">
        <v>100</v>
      </c>
      <c r="D81" s="9" t="s">
        <v>441</v>
      </c>
      <c r="E81" s="5" t="s">
        <v>82</v>
      </c>
      <c r="F81" s="6">
        <v>337</v>
      </c>
      <c r="G81" s="6">
        <v>1775</v>
      </c>
      <c r="H81" s="6">
        <v>944</v>
      </c>
      <c r="I81" s="6">
        <v>831</v>
      </c>
      <c r="J81" s="17">
        <f t="shared" si="3"/>
        <v>880.2966101694916</v>
      </c>
      <c r="K81" s="6">
        <v>522</v>
      </c>
      <c r="L81" s="6">
        <v>278</v>
      </c>
      <c r="M81" s="6">
        <v>244</v>
      </c>
      <c r="N81" s="7">
        <f t="shared" si="4"/>
        <v>29.408450704225352</v>
      </c>
      <c r="O81" s="6">
        <v>1239</v>
      </c>
      <c r="P81" s="6">
        <v>730</v>
      </c>
      <c r="Q81" s="6">
        <v>509</v>
      </c>
      <c r="R81" s="7">
        <v>79.321382842509607</v>
      </c>
      <c r="S81" s="7">
        <v>88.484848484848484</v>
      </c>
      <c r="T81" s="7">
        <v>69.063772048846673</v>
      </c>
      <c r="U81" s="15">
        <f t="shared" si="5"/>
        <v>2</v>
      </c>
    </row>
    <row r="82" spans="1:21" ht="18.75" customHeight="1">
      <c r="A82" s="16">
        <v>83</v>
      </c>
      <c r="B82" s="3">
        <v>20</v>
      </c>
      <c r="C82" s="4" t="s">
        <v>101</v>
      </c>
      <c r="D82" s="9" t="s">
        <v>441</v>
      </c>
      <c r="E82" s="5" t="s">
        <v>82</v>
      </c>
      <c r="F82" s="6">
        <v>59</v>
      </c>
      <c r="G82" s="6">
        <v>299</v>
      </c>
      <c r="H82" s="6">
        <v>155</v>
      </c>
      <c r="I82" s="6">
        <v>144</v>
      </c>
      <c r="J82" s="17">
        <f t="shared" si="3"/>
        <v>929.03225806451621</v>
      </c>
      <c r="K82" s="6">
        <v>60</v>
      </c>
      <c r="L82" s="6">
        <v>33</v>
      </c>
      <c r="M82" s="6">
        <v>27</v>
      </c>
      <c r="N82" s="7">
        <f t="shared" si="4"/>
        <v>20.066889632107024</v>
      </c>
      <c r="O82" s="6">
        <v>234</v>
      </c>
      <c r="P82" s="6">
        <v>133</v>
      </c>
      <c r="Q82" s="6">
        <v>101</v>
      </c>
      <c r="R82" s="7">
        <v>88.973384030418245</v>
      </c>
      <c r="S82" s="7">
        <v>97.080291970802918</v>
      </c>
      <c r="T82" s="7">
        <v>80.158730158730165</v>
      </c>
      <c r="U82" s="15">
        <f t="shared" si="5"/>
        <v>1</v>
      </c>
    </row>
    <row r="83" spans="1:21" ht="18.75" customHeight="1">
      <c r="A83" s="16">
        <v>84</v>
      </c>
      <c r="B83" s="3">
        <v>21</v>
      </c>
      <c r="C83" s="4" t="s">
        <v>102</v>
      </c>
      <c r="D83" s="9" t="s">
        <v>441</v>
      </c>
      <c r="E83" s="5" t="s">
        <v>82</v>
      </c>
      <c r="F83" s="6">
        <v>142</v>
      </c>
      <c r="G83" s="6">
        <v>749</v>
      </c>
      <c r="H83" s="6">
        <v>395</v>
      </c>
      <c r="I83" s="6">
        <v>354</v>
      </c>
      <c r="J83" s="17">
        <f t="shared" si="3"/>
        <v>896.20253164556959</v>
      </c>
      <c r="K83" s="6">
        <v>239</v>
      </c>
      <c r="L83" s="6">
        <v>132</v>
      </c>
      <c r="M83" s="6">
        <v>107</v>
      </c>
      <c r="N83" s="7">
        <f t="shared" si="4"/>
        <v>31.909212283044059</v>
      </c>
      <c r="O83" s="6">
        <v>515</v>
      </c>
      <c r="P83" s="6">
        <v>299</v>
      </c>
      <c r="Q83" s="6">
        <v>216</v>
      </c>
      <c r="R83" s="7">
        <v>77.677224736048274</v>
      </c>
      <c r="S83" s="7">
        <v>86.1671469740634</v>
      </c>
      <c r="T83" s="7">
        <v>68.35443037974683</v>
      </c>
      <c r="U83" s="15">
        <f t="shared" si="5"/>
        <v>2</v>
      </c>
    </row>
    <row r="84" spans="1:21" ht="18.75" customHeight="1">
      <c r="A84" s="16">
        <v>85</v>
      </c>
      <c r="B84" s="3">
        <v>22</v>
      </c>
      <c r="C84" s="4" t="s">
        <v>103</v>
      </c>
      <c r="D84" s="9" t="s">
        <v>441</v>
      </c>
      <c r="E84" s="5" t="s">
        <v>82</v>
      </c>
      <c r="F84" s="6">
        <v>443</v>
      </c>
      <c r="G84" s="6">
        <v>2396</v>
      </c>
      <c r="H84" s="6">
        <v>1279</v>
      </c>
      <c r="I84" s="6">
        <v>1117</v>
      </c>
      <c r="J84" s="17">
        <f t="shared" si="3"/>
        <v>873.33854573885844</v>
      </c>
      <c r="K84" s="6">
        <v>399</v>
      </c>
      <c r="L84" s="6">
        <v>223</v>
      </c>
      <c r="M84" s="6">
        <v>176</v>
      </c>
      <c r="N84" s="7">
        <f t="shared" si="4"/>
        <v>16.652754590984976</v>
      </c>
      <c r="O84" s="6">
        <v>1583</v>
      </c>
      <c r="P84" s="6">
        <v>914</v>
      </c>
      <c r="Q84" s="6">
        <v>669</v>
      </c>
      <c r="R84" s="7">
        <v>75.38095238095238</v>
      </c>
      <c r="S84" s="7">
        <v>82.714932126696823</v>
      </c>
      <c r="T84" s="7">
        <v>67.236180904522612</v>
      </c>
      <c r="U84" s="15">
        <f t="shared" si="5"/>
        <v>2</v>
      </c>
    </row>
    <row r="85" spans="1:21" ht="18.75" customHeight="1">
      <c r="A85" s="16">
        <v>86</v>
      </c>
      <c r="B85" s="3">
        <v>23</v>
      </c>
      <c r="C85" s="4" t="s">
        <v>104</v>
      </c>
      <c r="D85" s="9" t="s">
        <v>441</v>
      </c>
      <c r="E85" s="5" t="s">
        <v>82</v>
      </c>
      <c r="F85" s="6">
        <v>10</v>
      </c>
      <c r="G85" s="6">
        <v>86</v>
      </c>
      <c r="H85" s="6">
        <v>47</v>
      </c>
      <c r="I85" s="6">
        <v>39</v>
      </c>
      <c r="J85" s="17">
        <f t="shared" si="3"/>
        <v>829.78723404255322</v>
      </c>
      <c r="K85" s="6">
        <v>0</v>
      </c>
      <c r="L85" s="6">
        <v>0</v>
      </c>
      <c r="M85" s="6">
        <v>0</v>
      </c>
      <c r="N85" s="7">
        <f t="shared" si="4"/>
        <v>0</v>
      </c>
      <c r="O85" s="6">
        <v>61</v>
      </c>
      <c r="P85" s="6">
        <v>32</v>
      </c>
      <c r="Q85" s="6">
        <v>29</v>
      </c>
      <c r="R85" s="7">
        <v>81.333333333333329</v>
      </c>
      <c r="S85" s="7">
        <v>82.051282051282044</v>
      </c>
      <c r="T85" s="7">
        <v>80.555555555555557</v>
      </c>
      <c r="U85" s="15">
        <f t="shared" si="5"/>
        <v>2</v>
      </c>
    </row>
    <row r="86" spans="1:21" ht="18.75" customHeight="1">
      <c r="A86" s="16">
        <v>87</v>
      </c>
      <c r="B86" s="3">
        <v>24</v>
      </c>
      <c r="C86" s="4" t="s">
        <v>105</v>
      </c>
      <c r="D86" s="9" t="s">
        <v>441</v>
      </c>
      <c r="E86" s="5" t="s">
        <v>82</v>
      </c>
      <c r="F86" s="6">
        <v>283</v>
      </c>
      <c r="G86" s="6">
        <v>1537</v>
      </c>
      <c r="H86" s="6">
        <v>784</v>
      </c>
      <c r="I86" s="6">
        <v>753</v>
      </c>
      <c r="J86" s="17">
        <f t="shared" si="3"/>
        <v>960.4591836734694</v>
      </c>
      <c r="K86" s="6">
        <v>213</v>
      </c>
      <c r="L86" s="6">
        <v>111</v>
      </c>
      <c r="M86" s="6">
        <v>102</v>
      </c>
      <c r="N86" s="7">
        <f t="shared" si="4"/>
        <v>13.858165256994145</v>
      </c>
      <c r="O86" s="6">
        <v>1049</v>
      </c>
      <c r="P86" s="6">
        <v>596</v>
      </c>
      <c r="Q86" s="6">
        <v>453</v>
      </c>
      <c r="R86" s="7">
        <v>76.962582538517978</v>
      </c>
      <c r="S86" s="7">
        <v>86.127167630057798</v>
      </c>
      <c r="T86" s="7">
        <v>67.511177347242921</v>
      </c>
      <c r="U86" s="15">
        <f t="shared" si="5"/>
        <v>1</v>
      </c>
    </row>
    <row r="87" spans="1:21" ht="18.75" customHeight="1">
      <c r="A87" s="16">
        <v>88</v>
      </c>
      <c r="B87" s="3">
        <v>25</v>
      </c>
      <c r="C87" s="4" t="s">
        <v>106</v>
      </c>
      <c r="D87" s="9" t="s">
        <v>441</v>
      </c>
      <c r="E87" s="5" t="s">
        <v>82</v>
      </c>
      <c r="F87" s="6">
        <v>224</v>
      </c>
      <c r="G87" s="6">
        <v>1204</v>
      </c>
      <c r="H87" s="6">
        <v>644</v>
      </c>
      <c r="I87" s="6">
        <v>560</v>
      </c>
      <c r="J87" s="17">
        <f t="shared" si="3"/>
        <v>869.56521739130437</v>
      </c>
      <c r="K87" s="6">
        <v>336</v>
      </c>
      <c r="L87" s="6">
        <v>175</v>
      </c>
      <c r="M87" s="6">
        <v>161</v>
      </c>
      <c r="N87" s="7">
        <f t="shared" si="4"/>
        <v>27.906976744186046</v>
      </c>
      <c r="O87" s="6">
        <v>870</v>
      </c>
      <c r="P87" s="6">
        <v>514</v>
      </c>
      <c r="Q87" s="6">
        <v>356</v>
      </c>
      <c r="R87" s="7">
        <v>82.542694497153704</v>
      </c>
      <c r="S87" s="7">
        <v>91.296625222024858</v>
      </c>
      <c r="T87" s="7">
        <v>72.505091649694492</v>
      </c>
      <c r="U87" s="15">
        <f t="shared" si="5"/>
        <v>2</v>
      </c>
    </row>
    <row r="88" spans="1:21" ht="18.75" customHeight="1">
      <c r="A88" s="16">
        <v>89</v>
      </c>
      <c r="B88" s="3">
        <v>26</v>
      </c>
      <c r="C88" s="4" t="s">
        <v>107</v>
      </c>
      <c r="D88" s="9" t="s">
        <v>441</v>
      </c>
      <c r="E88" s="5" t="s">
        <v>82</v>
      </c>
      <c r="F88" s="6">
        <v>58</v>
      </c>
      <c r="G88" s="6">
        <v>274</v>
      </c>
      <c r="H88" s="6">
        <v>141</v>
      </c>
      <c r="I88" s="6">
        <v>133</v>
      </c>
      <c r="J88" s="17">
        <f t="shared" si="3"/>
        <v>943.26241134751774</v>
      </c>
      <c r="K88" s="6">
        <v>164</v>
      </c>
      <c r="L88" s="6">
        <v>85</v>
      </c>
      <c r="M88" s="6">
        <v>79</v>
      </c>
      <c r="N88" s="7">
        <f t="shared" si="4"/>
        <v>59.854014598540154</v>
      </c>
      <c r="O88" s="6">
        <v>155</v>
      </c>
      <c r="P88" s="6">
        <v>88</v>
      </c>
      <c r="Q88" s="6">
        <v>67</v>
      </c>
      <c r="R88" s="7">
        <v>66.523605150214593</v>
      </c>
      <c r="S88" s="7">
        <v>72.727272727272734</v>
      </c>
      <c r="T88" s="7">
        <v>59.821428571428569</v>
      </c>
      <c r="U88" s="15">
        <f t="shared" si="5"/>
        <v>1</v>
      </c>
    </row>
    <row r="89" spans="1:21" ht="18.75" customHeight="1">
      <c r="A89" s="16">
        <v>91</v>
      </c>
      <c r="B89" s="3">
        <v>28</v>
      </c>
      <c r="C89" s="4" t="s">
        <v>109</v>
      </c>
      <c r="D89" s="9" t="s">
        <v>441</v>
      </c>
      <c r="E89" s="5" t="s">
        <v>82</v>
      </c>
      <c r="F89" s="6">
        <v>222</v>
      </c>
      <c r="G89" s="6">
        <v>1178</v>
      </c>
      <c r="H89" s="6">
        <v>632</v>
      </c>
      <c r="I89" s="6">
        <v>546</v>
      </c>
      <c r="J89" s="17">
        <f t="shared" si="3"/>
        <v>863.92405063291142</v>
      </c>
      <c r="K89" s="6">
        <v>227</v>
      </c>
      <c r="L89" s="6">
        <v>117</v>
      </c>
      <c r="M89" s="6">
        <v>110</v>
      </c>
      <c r="N89" s="7">
        <f t="shared" si="4"/>
        <v>19.269949066213922</v>
      </c>
      <c r="O89" s="6">
        <v>810</v>
      </c>
      <c r="P89" s="6">
        <v>480</v>
      </c>
      <c r="Q89" s="6">
        <v>330</v>
      </c>
      <c r="R89" s="7">
        <v>77.069457659372034</v>
      </c>
      <c r="S89" s="7">
        <v>86.642599277978334</v>
      </c>
      <c r="T89" s="7">
        <v>66.398390342052309</v>
      </c>
      <c r="U89" s="15">
        <f t="shared" si="5"/>
        <v>2</v>
      </c>
    </row>
    <row r="90" spans="1:21" ht="18.75" customHeight="1">
      <c r="A90" s="16">
        <v>92</v>
      </c>
      <c r="B90" s="3">
        <v>29</v>
      </c>
      <c r="C90" s="4" t="s">
        <v>110</v>
      </c>
      <c r="D90" s="9" t="s">
        <v>441</v>
      </c>
      <c r="E90" s="5" t="s">
        <v>82</v>
      </c>
      <c r="F90" s="6">
        <v>121</v>
      </c>
      <c r="G90" s="6">
        <v>595</v>
      </c>
      <c r="H90" s="6">
        <v>312</v>
      </c>
      <c r="I90" s="6">
        <v>283</v>
      </c>
      <c r="J90" s="17">
        <f t="shared" si="3"/>
        <v>907.0512820512821</v>
      </c>
      <c r="K90" s="6">
        <v>111</v>
      </c>
      <c r="L90" s="6">
        <v>57</v>
      </c>
      <c r="M90" s="6">
        <v>54</v>
      </c>
      <c r="N90" s="7">
        <f t="shared" si="4"/>
        <v>18.655462184873951</v>
      </c>
      <c r="O90" s="6">
        <v>448</v>
      </c>
      <c r="P90" s="6">
        <v>257</v>
      </c>
      <c r="Q90" s="6">
        <v>191</v>
      </c>
      <c r="R90" s="7">
        <v>83.582089552238799</v>
      </c>
      <c r="S90" s="7">
        <v>91.785714285714278</v>
      </c>
      <c r="T90" s="7">
        <v>74.609375</v>
      </c>
      <c r="U90" s="15">
        <f t="shared" si="5"/>
        <v>1</v>
      </c>
    </row>
    <row r="91" spans="1:21" ht="18.75" customHeight="1">
      <c r="A91" s="16">
        <v>93</v>
      </c>
      <c r="B91" s="3">
        <v>30</v>
      </c>
      <c r="C91" s="4" t="s">
        <v>111</v>
      </c>
      <c r="D91" s="9" t="s">
        <v>441</v>
      </c>
      <c r="E91" s="5" t="s">
        <v>82</v>
      </c>
      <c r="F91" s="6">
        <v>279</v>
      </c>
      <c r="G91" s="6">
        <v>1454</v>
      </c>
      <c r="H91" s="6">
        <v>782</v>
      </c>
      <c r="I91" s="6">
        <v>672</v>
      </c>
      <c r="J91" s="17">
        <f t="shared" si="3"/>
        <v>859.33503836317141</v>
      </c>
      <c r="K91" s="6">
        <v>568</v>
      </c>
      <c r="L91" s="6">
        <v>306</v>
      </c>
      <c r="M91" s="6">
        <v>262</v>
      </c>
      <c r="N91" s="7">
        <f t="shared" si="4"/>
        <v>39.064649243466299</v>
      </c>
      <c r="O91" s="6">
        <v>949</v>
      </c>
      <c r="P91" s="6">
        <v>579</v>
      </c>
      <c r="Q91" s="6">
        <v>370</v>
      </c>
      <c r="R91" s="7">
        <v>74.66561762391818</v>
      </c>
      <c r="S91" s="7">
        <v>85.147058823529406</v>
      </c>
      <c r="T91" s="7">
        <v>62.605752961082906</v>
      </c>
      <c r="U91" s="15">
        <f t="shared" si="5"/>
        <v>2</v>
      </c>
    </row>
    <row r="92" spans="1:21" ht="18.75" customHeight="1">
      <c r="A92" s="16">
        <v>94</v>
      </c>
      <c r="B92" s="3">
        <v>31</v>
      </c>
      <c r="C92" s="4" t="s">
        <v>112</v>
      </c>
      <c r="D92" s="9" t="s">
        <v>441</v>
      </c>
      <c r="E92" s="5" t="s">
        <v>82</v>
      </c>
      <c r="F92" s="6">
        <v>464</v>
      </c>
      <c r="G92" s="6">
        <v>2394</v>
      </c>
      <c r="H92" s="6">
        <v>1259</v>
      </c>
      <c r="I92" s="6">
        <v>1135</v>
      </c>
      <c r="J92" s="17">
        <f t="shared" si="3"/>
        <v>901.50913423351869</v>
      </c>
      <c r="K92" s="6">
        <v>767</v>
      </c>
      <c r="L92" s="6">
        <v>411</v>
      </c>
      <c r="M92" s="6">
        <v>356</v>
      </c>
      <c r="N92" s="7">
        <f t="shared" si="4"/>
        <v>32.038429406850462</v>
      </c>
      <c r="O92" s="6">
        <v>1602</v>
      </c>
      <c r="P92" s="6">
        <v>941</v>
      </c>
      <c r="Q92" s="6">
        <v>661</v>
      </c>
      <c r="R92" s="7">
        <v>75.63739376770539</v>
      </c>
      <c r="S92" s="7">
        <v>85.158371040723978</v>
      </c>
      <c r="T92" s="7">
        <v>65.25172754195458</v>
      </c>
      <c r="U92" s="15">
        <f t="shared" si="5"/>
        <v>1</v>
      </c>
    </row>
    <row r="93" spans="1:21" ht="18.75" customHeight="1">
      <c r="A93" s="16">
        <v>95</v>
      </c>
      <c r="B93" s="3">
        <v>32</v>
      </c>
      <c r="C93" s="4" t="s">
        <v>113</v>
      </c>
      <c r="D93" s="9" t="s">
        <v>441</v>
      </c>
      <c r="E93" s="5" t="s">
        <v>82</v>
      </c>
      <c r="F93" s="6">
        <v>241</v>
      </c>
      <c r="G93" s="6">
        <v>1301</v>
      </c>
      <c r="H93" s="6">
        <v>690</v>
      </c>
      <c r="I93" s="6">
        <v>611</v>
      </c>
      <c r="J93" s="17">
        <f t="shared" si="3"/>
        <v>885.50724637681151</v>
      </c>
      <c r="K93" s="6">
        <v>515</v>
      </c>
      <c r="L93" s="6">
        <v>270</v>
      </c>
      <c r="M93" s="6">
        <v>245</v>
      </c>
      <c r="N93" s="7">
        <f t="shared" si="4"/>
        <v>39.584934665641811</v>
      </c>
      <c r="O93" s="6">
        <v>854</v>
      </c>
      <c r="P93" s="6">
        <v>486</v>
      </c>
      <c r="Q93" s="6">
        <v>368</v>
      </c>
      <c r="R93" s="7">
        <v>75.308641975308646</v>
      </c>
      <c r="S93" s="7">
        <v>82.372881355932208</v>
      </c>
      <c r="T93" s="7">
        <v>67.64705882352942</v>
      </c>
      <c r="U93" s="15">
        <f t="shared" si="5"/>
        <v>2</v>
      </c>
    </row>
    <row r="94" spans="1:21" ht="18.75" customHeight="1">
      <c r="A94" s="16">
        <v>96</v>
      </c>
      <c r="B94" s="3">
        <v>33</v>
      </c>
      <c r="C94" s="4" t="s">
        <v>114</v>
      </c>
      <c r="D94" s="9" t="s">
        <v>441</v>
      </c>
      <c r="E94" s="5" t="s">
        <v>82</v>
      </c>
      <c r="F94" s="6">
        <v>124</v>
      </c>
      <c r="G94" s="6">
        <v>591</v>
      </c>
      <c r="H94" s="6">
        <v>310</v>
      </c>
      <c r="I94" s="6">
        <v>281</v>
      </c>
      <c r="J94" s="17">
        <f t="shared" si="3"/>
        <v>906.45161290322585</v>
      </c>
      <c r="K94" s="6">
        <v>510</v>
      </c>
      <c r="L94" s="6">
        <v>270</v>
      </c>
      <c r="M94" s="6">
        <v>240</v>
      </c>
      <c r="N94" s="7">
        <f t="shared" si="4"/>
        <v>86.294416243654823</v>
      </c>
      <c r="O94" s="6">
        <v>368</v>
      </c>
      <c r="P94" s="6">
        <v>216</v>
      </c>
      <c r="Q94" s="6">
        <v>152</v>
      </c>
      <c r="R94" s="7">
        <v>73.599999999999994</v>
      </c>
      <c r="S94" s="7">
        <v>82.129277566539926</v>
      </c>
      <c r="T94" s="7">
        <v>64.135021097046419</v>
      </c>
      <c r="U94" s="15">
        <f t="shared" si="5"/>
        <v>1</v>
      </c>
    </row>
    <row r="95" spans="1:21" ht="18.75" customHeight="1">
      <c r="A95" s="16">
        <v>97</v>
      </c>
      <c r="B95" s="3">
        <v>34</v>
      </c>
      <c r="C95" s="4" t="s">
        <v>115</v>
      </c>
      <c r="D95" s="9" t="s">
        <v>441</v>
      </c>
      <c r="E95" s="5" t="s">
        <v>82</v>
      </c>
      <c r="F95" s="6">
        <v>101</v>
      </c>
      <c r="G95" s="6">
        <v>516</v>
      </c>
      <c r="H95" s="6">
        <v>277</v>
      </c>
      <c r="I95" s="6">
        <v>239</v>
      </c>
      <c r="J95" s="17">
        <f t="shared" si="3"/>
        <v>862.81588447653439</v>
      </c>
      <c r="K95" s="6">
        <v>311</v>
      </c>
      <c r="L95" s="6">
        <v>164</v>
      </c>
      <c r="M95" s="6">
        <v>147</v>
      </c>
      <c r="N95" s="7">
        <f t="shared" si="4"/>
        <v>60.271317829457359</v>
      </c>
      <c r="O95" s="6">
        <v>319</v>
      </c>
      <c r="P95" s="6">
        <v>187</v>
      </c>
      <c r="Q95" s="6">
        <v>132</v>
      </c>
      <c r="R95" s="7">
        <v>71.364653243847869</v>
      </c>
      <c r="S95" s="7">
        <v>79.237288135593218</v>
      </c>
      <c r="T95" s="7">
        <v>62.559241706161139</v>
      </c>
      <c r="U95" s="15">
        <f t="shared" si="5"/>
        <v>2</v>
      </c>
    </row>
    <row r="96" spans="1:21" ht="18.75" customHeight="1">
      <c r="A96" s="16">
        <v>98</v>
      </c>
      <c r="B96" s="3">
        <v>35</v>
      </c>
      <c r="C96" s="4" t="s">
        <v>116</v>
      </c>
      <c r="D96" s="9" t="s">
        <v>441</v>
      </c>
      <c r="E96" s="5" t="s">
        <v>82</v>
      </c>
      <c r="F96" s="6">
        <v>214</v>
      </c>
      <c r="G96" s="6">
        <v>1115</v>
      </c>
      <c r="H96" s="6">
        <v>599</v>
      </c>
      <c r="I96" s="6">
        <v>516</v>
      </c>
      <c r="J96" s="17">
        <f t="shared" si="3"/>
        <v>861.43572621035059</v>
      </c>
      <c r="K96" s="6">
        <v>336</v>
      </c>
      <c r="L96" s="6">
        <v>185</v>
      </c>
      <c r="M96" s="6">
        <v>151</v>
      </c>
      <c r="N96" s="7">
        <f t="shared" si="4"/>
        <v>30.134529147982065</v>
      </c>
      <c r="O96" s="6">
        <v>767</v>
      </c>
      <c r="P96" s="6">
        <v>450</v>
      </c>
      <c r="Q96" s="6">
        <v>317</v>
      </c>
      <c r="R96" s="7">
        <v>77.553083923154702</v>
      </c>
      <c r="S96" s="7">
        <v>84.586466165413526</v>
      </c>
      <c r="T96" s="7">
        <v>69.365426695842444</v>
      </c>
      <c r="U96" s="15">
        <f t="shared" si="5"/>
        <v>2</v>
      </c>
    </row>
    <row r="97" spans="1:21" ht="18.75" customHeight="1">
      <c r="A97" s="16">
        <v>99</v>
      </c>
      <c r="B97" s="3">
        <v>36</v>
      </c>
      <c r="C97" s="4" t="s">
        <v>117</v>
      </c>
      <c r="D97" s="9" t="s">
        <v>441</v>
      </c>
      <c r="E97" s="5" t="s">
        <v>82</v>
      </c>
      <c r="F97" s="6">
        <v>623</v>
      </c>
      <c r="G97" s="6">
        <v>3510</v>
      </c>
      <c r="H97" s="6">
        <v>1859</v>
      </c>
      <c r="I97" s="6">
        <v>1651</v>
      </c>
      <c r="J97" s="17">
        <f t="shared" si="3"/>
        <v>888.11188811188811</v>
      </c>
      <c r="K97" s="6">
        <v>1285</v>
      </c>
      <c r="L97" s="6">
        <v>661</v>
      </c>
      <c r="M97" s="6">
        <v>624</v>
      </c>
      <c r="N97" s="7">
        <f t="shared" si="4"/>
        <v>36.609686609686612</v>
      </c>
      <c r="O97" s="6">
        <v>2350</v>
      </c>
      <c r="P97" s="6">
        <v>1367</v>
      </c>
      <c r="Q97" s="6">
        <v>983</v>
      </c>
      <c r="R97" s="7">
        <v>77.125041023957991</v>
      </c>
      <c r="S97" s="7">
        <v>85.277604491578302</v>
      </c>
      <c r="T97" s="7">
        <v>68.07479224376732</v>
      </c>
      <c r="U97" s="15">
        <f t="shared" si="5"/>
        <v>2</v>
      </c>
    </row>
    <row r="98" spans="1:21" ht="18.75" customHeight="1">
      <c r="A98" s="16">
        <v>100</v>
      </c>
      <c r="B98" s="3">
        <v>37</v>
      </c>
      <c r="C98" s="4" t="s">
        <v>118</v>
      </c>
      <c r="D98" s="9" t="s">
        <v>441</v>
      </c>
      <c r="E98" s="5" t="s">
        <v>82</v>
      </c>
      <c r="F98" s="6">
        <v>160</v>
      </c>
      <c r="G98" s="6">
        <v>820</v>
      </c>
      <c r="H98" s="6">
        <v>434</v>
      </c>
      <c r="I98" s="6">
        <v>386</v>
      </c>
      <c r="J98" s="17">
        <f t="shared" si="3"/>
        <v>889.40092165898625</v>
      </c>
      <c r="K98" s="6">
        <v>122</v>
      </c>
      <c r="L98" s="6">
        <v>58</v>
      </c>
      <c r="M98" s="6">
        <v>64</v>
      </c>
      <c r="N98" s="7">
        <f t="shared" si="4"/>
        <v>14.878048780487804</v>
      </c>
      <c r="O98" s="6">
        <v>607</v>
      </c>
      <c r="P98" s="6">
        <v>356</v>
      </c>
      <c r="Q98" s="6">
        <v>251</v>
      </c>
      <c r="R98" s="7">
        <v>82.027027027027017</v>
      </c>
      <c r="S98" s="7">
        <v>90.585241730279904</v>
      </c>
      <c r="T98" s="7">
        <v>72.334293948126799</v>
      </c>
      <c r="U98" s="15">
        <f t="shared" si="5"/>
        <v>2</v>
      </c>
    </row>
    <row r="99" spans="1:21" ht="18.75" customHeight="1">
      <c r="A99" s="16">
        <v>101</v>
      </c>
      <c r="B99" s="3">
        <v>38</v>
      </c>
      <c r="C99" s="4" t="s">
        <v>119</v>
      </c>
      <c r="D99" s="9" t="s">
        <v>441</v>
      </c>
      <c r="E99" s="5" t="s">
        <v>82</v>
      </c>
      <c r="F99" s="6">
        <v>277</v>
      </c>
      <c r="G99" s="6">
        <v>1517</v>
      </c>
      <c r="H99" s="6">
        <v>783</v>
      </c>
      <c r="I99" s="6">
        <v>734</v>
      </c>
      <c r="J99" s="17">
        <f t="shared" si="3"/>
        <v>937.42017879948912</v>
      </c>
      <c r="K99" s="6">
        <v>538</v>
      </c>
      <c r="L99" s="6">
        <v>280</v>
      </c>
      <c r="M99" s="6">
        <v>258</v>
      </c>
      <c r="N99" s="7">
        <f t="shared" si="4"/>
        <v>35.464733025708632</v>
      </c>
      <c r="O99" s="6">
        <v>998</v>
      </c>
      <c r="P99" s="6">
        <v>581</v>
      </c>
      <c r="Q99" s="6">
        <v>417</v>
      </c>
      <c r="R99" s="7">
        <v>75.778283978739552</v>
      </c>
      <c r="S99" s="7">
        <v>86.074074074074076</v>
      </c>
      <c r="T99" s="7">
        <v>64.953271028037392</v>
      </c>
      <c r="U99" s="15">
        <f t="shared" si="5"/>
        <v>1</v>
      </c>
    </row>
    <row r="100" spans="1:21" ht="18.75" customHeight="1">
      <c r="A100" s="16">
        <v>102</v>
      </c>
      <c r="B100" s="3">
        <v>39</v>
      </c>
      <c r="C100" s="4" t="s">
        <v>120</v>
      </c>
      <c r="D100" s="9" t="s">
        <v>441</v>
      </c>
      <c r="E100" s="5" t="s">
        <v>82</v>
      </c>
      <c r="F100" s="6">
        <v>257</v>
      </c>
      <c r="G100" s="6">
        <v>1482</v>
      </c>
      <c r="H100" s="6">
        <v>809</v>
      </c>
      <c r="I100" s="6">
        <v>673</v>
      </c>
      <c r="J100" s="17">
        <f t="shared" si="3"/>
        <v>831.8912237330037</v>
      </c>
      <c r="K100" s="6">
        <v>491</v>
      </c>
      <c r="L100" s="6">
        <v>266</v>
      </c>
      <c r="M100" s="6">
        <v>225</v>
      </c>
      <c r="N100" s="7">
        <f t="shared" si="4"/>
        <v>33.130904183535762</v>
      </c>
      <c r="O100" s="6">
        <v>965</v>
      </c>
      <c r="P100" s="6">
        <v>558</v>
      </c>
      <c r="Q100" s="6">
        <v>407</v>
      </c>
      <c r="R100" s="7">
        <v>73.216995447647946</v>
      </c>
      <c r="S100" s="7">
        <v>79.600570613409417</v>
      </c>
      <c r="T100" s="7">
        <v>65.964343598055109</v>
      </c>
      <c r="U100" s="15">
        <f t="shared" si="5"/>
        <v>2</v>
      </c>
    </row>
    <row r="101" spans="1:21" ht="18.75" customHeight="1">
      <c r="A101" s="16">
        <v>103</v>
      </c>
      <c r="B101" s="3">
        <v>40</v>
      </c>
      <c r="C101" s="4" t="s">
        <v>121</v>
      </c>
      <c r="D101" s="9" t="s">
        <v>441</v>
      </c>
      <c r="E101" s="5" t="s">
        <v>82</v>
      </c>
      <c r="F101" s="6">
        <v>138</v>
      </c>
      <c r="G101" s="6">
        <v>779</v>
      </c>
      <c r="H101" s="6">
        <v>405</v>
      </c>
      <c r="I101" s="6">
        <v>374</v>
      </c>
      <c r="J101" s="17">
        <f t="shared" si="3"/>
        <v>923.45679012345681</v>
      </c>
      <c r="K101" s="6">
        <v>140</v>
      </c>
      <c r="L101" s="6">
        <v>73</v>
      </c>
      <c r="M101" s="6">
        <v>67</v>
      </c>
      <c r="N101" s="7">
        <f t="shared" si="4"/>
        <v>17.971758664955072</v>
      </c>
      <c r="O101" s="6">
        <v>545</v>
      </c>
      <c r="P101" s="6">
        <v>312</v>
      </c>
      <c r="Q101" s="6">
        <v>233</v>
      </c>
      <c r="R101" s="7">
        <v>77.524893314366992</v>
      </c>
      <c r="S101" s="7">
        <v>86.908077994428965</v>
      </c>
      <c r="T101" s="7">
        <v>67.732558139534888</v>
      </c>
      <c r="U101" s="15">
        <f t="shared" si="5"/>
        <v>1</v>
      </c>
    </row>
    <row r="102" spans="1:21" ht="18.75" customHeight="1">
      <c r="A102" s="16">
        <v>104</v>
      </c>
      <c r="B102" s="3">
        <v>41</v>
      </c>
      <c r="C102" s="4" t="s">
        <v>122</v>
      </c>
      <c r="D102" s="9" t="s">
        <v>441</v>
      </c>
      <c r="E102" s="5" t="s">
        <v>82</v>
      </c>
      <c r="F102" s="6">
        <v>1011</v>
      </c>
      <c r="G102" s="6">
        <v>5325</v>
      </c>
      <c r="H102" s="6">
        <v>2806</v>
      </c>
      <c r="I102" s="6">
        <v>2519</v>
      </c>
      <c r="J102" s="17">
        <f t="shared" si="3"/>
        <v>897.71917320028513</v>
      </c>
      <c r="K102" s="6">
        <v>1435</v>
      </c>
      <c r="L102" s="6">
        <v>752</v>
      </c>
      <c r="M102" s="6">
        <v>683</v>
      </c>
      <c r="N102" s="7">
        <f t="shared" si="4"/>
        <v>26.948356807511736</v>
      </c>
      <c r="O102" s="6">
        <v>3548</v>
      </c>
      <c r="P102" s="6">
        <v>2053</v>
      </c>
      <c r="Q102" s="6">
        <v>1495</v>
      </c>
      <c r="R102" s="7">
        <v>75.876817792985463</v>
      </c>
      <c r="S102" s="7">
        <v>83.795918367346943</v>
      </c>
      <c r="T102" s="7">
        <v>67.160826594788858</v>
      </c>
      <c r="U102" s="15">
        <f t="shared" si="5"/>
        <v>2</v>
      </c>
    </row>
    <row r="103" spans="1:21" ht="18.75" customHeight="1">
      <c r="A103" s="16">
        <v>105</v>
      </c>
      <c r="B103" s="3">
        <v>42</v>
      </c>
      <c r="C103" s="4" t="s">
        <v>123</v>
      </c>
      <c r="D103" s="9" t="s">
        <v>441</v>
      </c>
      <c r="E103" s="5" t="s">
        <v>82</v>
      </c>
      <c r="F103" s="6">
        <v>198</v>
      </c>
      <c r="G103" s="6">
        <v>1120</v>
      </c>
      <c r="H103" s="6">
        <v>593</v>
      </c>
      <c r="I103" s="6">
        <v>527</v>
      </c>
      <c r="J103" s="17">
        <f t="shared" si="3"/>
        <v>888.70151770657674</v>
      </c>
      <c r="K103" s="6">
        <v>281</v>
      </c>
      <c r="L103" s="6">
        <v>155</v>
      </c>
      <c r="M103" s="6">
        <v>126</v>
      </c>
      <c r="N103" s="7">
        <f t="shared" si="4"/>
        <v>25.089285714285715</v>
      </c>
      <c r="O103" s="6">
        <v>756</v>
      </c>
      <c r="P103" s="6">
        <v>438</v>
      </c>
      <c r="Q103" s="6">
        <v>318</v>
      </c>
      <c r="R103" s="7">
        <v>78.504672897196258</v>
      </c>
      <c r="S103" s="7">
        <v>86.56126482213439</v>
      </c>
      <c r="T103" s="7">
        <v>69.584245076586441</v>
      </c>
      <c r="U103" s="15">
        <f t="shared" si="5"/>
        <v>2</v>
      </c>
    </row>
    <row r="104" spans="1:21" ht="18.75" customHeight="1">
      <c r="A104" s="16">
        <v>106</v>
      </c>
      <c r="B104" s="3">
        <v>43</v>
      </c>
      <c r="C104" s="4" t="s">
        <v>124</v>
      </c>
      <c r="D104" s="9" t="s">
        <v>441</v>
      </c>
      <c r="E104" s="5" t="s">
        <v>82</v>
      </c>
      <c r="F104" s="6">
        <v>200</v>
      </c>
      <c r="G104" s="6">
        <v>1067</v>
      </c>
      <c r="H104" s="6">
        <v>562</v>
      </c>
      <c r="I104" s="6">
        <v>505</v>
      </c>
      <c r="J104" s="17">
        <f t="shared" si="3"/>
        <v>898.57651245551608</v>
      </c>
      <c r="K104" s="6">
        <v>179</v>
      </c>
      <c r="L104" s="6">
        <v>101</v>
      </c>
      <c r="M104" s="6">
        <v>78</v>
      </c>
      <c r="N104" s="7">
        <f t="shared" si="4"/>
        <v>16.776007497656984</v>
      </c>
      <c r="O104" s="6">
        <v>799</v>
      </c>
      <c r="P104" s="6">
        <v>439</v>
      </c>
      <c r="Q104" s="6">
        <v>360</v>
      </c>
      <c r="R104" s="7">
        <v>83.056133056133049</v>
      </c>
      <c r="S104" s="7">
        <v>87.975951903807612</v>
      </c>
      <c r="T104" s="7">
        <v>77.753779697624196</v>
      </c>
      <c r="U104" s="15">
        <f t="shared" si="5"/>
        <v>2</v>
      </c>
    </row>
    <row r="105" spans="1:21" ht="18.75" customHeight="1">
      <c r="A105" s="16">
        <v>107</v>
      </c>
      <c r="B105" s="3">
        <v>44</v>
      </c>
      <c r="C105" s="4" t="s">
        <v>125</v>
      </c>
      <c r="D105" s="9" t="s">
        <v>441</v>
      </c>
      <c r="E105" s="5" t="s">
        <v>82</v>
      </c>
      <c r="F105" s="6">
        <v>406</v>
      </c>
      <c r="G105" s="6">
        <v>2215</v>
      </c>
      <c r="H105" s="6">
        <v>1169</v>
      </c>
      <c r="I105" s="6">
        <v>1046</v>
      </c>
      <c r="J105" s="17">
        <f t="shared" si="3"/>
        <v>894.781864841745</v>
      </c>
      <c r="K105" s="6">
        <v>593</v>
      </c>
      <c r="L105" s="6">
        <v>309</v>
      </c>
      <c r="M105" s="6">
        <v>284</v>
      </c>
      <c r="N105" s="7">
        <f t="shared" si="4"/>
        <v>26.772009029345373</v>
      </c>
      <c r="O105" s="6">
        <v>1548</v>
      </c>
      <c r="P105" s="6">
        <v>909</v>
      </c>
      <c r="Q105" s="6">
        <v>639</v>
      </c>
      <c r="R105" s="7">
        <v>79.141104294478524</v>
      </c>
      <c r="S105" s="7">
        <v>88.94324853228963</v>
      </c>
      <c r="T105" s="7">
        <v>68.415417558886503</v>
      </c>
      <c r="U105" s="15">
        <f t="shared" si="5"/>
        <v>2</v>
      </c>
    </row>
    <row r="106" spans="1:21" ht="18.75" customHeight="1">
      <c r="A106" s="16">
        <v>108</v>
      </c>
      <c r="B106" s="3">
        <v>45</v>
      </c>
      <c r="C106" s="4" t="s">
        <v>126</v>
      </c>
      <c r="D106" s="9" t="s">
        <v>441</v>
      </c>
      <c r="E106" s="5" t="s">
        <v>82</v>
      </c>
      <c r="F106" s="6">
        <v>326</v>
      </c>
      <c r="G106" s="6">
        <v>1754</v>
      </c>
      <c r="H106" s="6">
        <v>946</v>
      </c>
      <c r="I106" s="6">
        <v>808</v>
      </c>
      <c r="J106" s="17">
        <f t="shared" si="3"/>
        <v>854.12262156448207</v>
      </c>
      <c r="K106" s="6">
        <v>1122</v>
      </c>
      <c r="L106" s="6">
        <v>596</v>
      </c>
      <c r="M106" s="6">
        <v>526</v>
      </c>
      <c r="N106" s="7">
        <f t="shared" si="4"/>
        <v>63.968072976054735</v>
      </c>
      <c r="O106" s="6">
        <v>1032</v>
      </c>
      <c r="P106" s="6">
        <v>592</v>
      </c>
      <c r="Q106" s="6">
        <v>440</v>
      </c>
      <c r="R106" s="7">
        <v>68.299139642620773</v>
      </c>
      <c r="S106" s="7">
        <v>73.267326732673268</v>
      </c>
      <c r="T106" s="7">
        <v>62.588904694167859</v>
      </c>
      <c r="U106" s="15">
        <f t="shared" si="5"/>
        <v>2</v>
      </c>
    </row>
    <row r="107" spans="1:21" ht="18.75" customHeight="1">
      <c r="A107" s="16">
        <v>109</v>
      </c>
      <c r="B107" s="3">
        <v>46</v>
      </c>
      <c r="C107" s="4" t="s">
        <v>127</v>
      </c>
      <c r="D107" s="9" t="s">
        <v>441</v>
      </c>
      <c r="E107" s="5" t="s">
        <v>82</v>
      </c>
      <c r="F107" s="6">
        <v>316</v>
      </c>
      <c r="G107" s="6">
        <v>1497</v>
      </c>
      <c r="H107" s="6">
        <v>796</v>
      </c>
      <c r="I107" s="6">
        <v>701</v>
      </c>
      <c r="J107" s="17">
        <f t="shared" si="3"/>
        <v>880.6532663316583</v>
      </c>
      <c r="K107" s="6">
        <v>266</v>
      </c>
      <c r="L107" s="6">
        <v>134</v>
      </c>
      <c r="M107" s="6">
        <v>132</v>
      </c>
      <c r="N107" s="7">
        <f t="shared" si="4"/>
        <v>17.768871075484302</v>
      </c>
      <c r="O107" s="6">
        <v>965</v>
      </c>
      <c r="P107" s="6">
        <v>560</v>
      </c>
      <c r="Q107" s="6">
        <v>405</v>
      </c>
      <c r="R107" s="7">
        <v>72.610985703536485</v>
      </c>
      <c r="S107" s="7">
        <v>79.658605974395442</v>
      </c>
      <c r="T107" s="7">
        <v>64.696485623003198</v>
      </c>
      <c r="U107" s="15">
        <f t="shared" si="5"/>
        <v>2</v>
      </c>
    </row>
    <row r="108" spans="1:21" ht="18.75" customHeight="1">
      <c r="A108" s="16">
        <v>110</v>
      </c>
      <c r="B108" s="3">
        <v>47</v>
      </c>
      <c r="C108" s="4" t="s">
        <v>128</v>
      </c>
      <c r="D108" s="9" t="s">
        <v>441</v>
      </c>
      <c r="E108" s="5" t="s">
        <v>82</v>
      </c>
      <c r="F108" s="6">
        <v>138</v>
      </c>
      <c r="G108" s="6">
        <v>788</v>
      </c>
      <c r="H108" s="6">
        <v>408</v>
      </c>
      <c r="I108" s="6">
        <v>380</v>
      </c>
      <c r="J108" s="17">
        <f t="shared" si="3"/>
        <v>931.37254901960785</v>
      </c>
      <c r="K108" s="6">
        <v>35</v>
      </c>
      <c r="L108" s="6">
        <v>19</v>
      </c>
      <c r="M108" s="6">
        <v>16</v>
      </c>
      <c r="N108" s="7">
        <f t="shared" si="4"/>
        <v>4.4416243654822338</v>
      </c>
      <c r="O108" s="6">
        <v>539</v>
      </c>
      <c r="P108" s="6">
        <v>314</v>
      </c>
      <c r="Q108" s="6">
        <v>225</v>
      </c>
      <c r="R108" s="7">
        <v>76.345609065155813</v>
      </c>
      <c r="S108" s="7">
        <v>87.465181058495816</v>
      </c>
      <c r="T108" s="7">
        <v>64.84149855907782</v>
      </c>
      <c r="U108" s="15">
        <f t="shared" si="5"/>
        <v>1</v>
      </c>
    </row>
    <row r="109" spans="1:21" ht="18.75" customHeight="1">
      <c r="A109" s="16">
        <v>111</v>
      </c>
      <c r="B109" s="3">
        <v>48</v>
      </c>
      <c r="C109" s="4" t="s">
        <v>129</v>
      </c>
      <c r="D109" s="9" t="s">
        <v>441</v>
      </c>
      <c r="E109" s="5" t="s">
        <v>82</v>
      </c>
      <c r="F109" s="6">
        <v>119</v>
      </c>
      <c r="G109" s="6">
        <v>652</v>
      </c>
      <c r="H109" s="6">
        <v>337</v>
      </c>
      <c r="I109" s="6">
        <v>315</v>
      </c>
      <c r="J109" s="17">
        <f t="shared" si="3"/>
        <v>934.71810089020767</v>
      </c>
      <c r="K109" s="6">
        <v>15</v>
      </c>
      <c r="L109" s="6">
        <v>7</v>
      </c>
      <c r="M109" s="6">
        <v>8</v>
      </c>
      <c r="N109" s="7">
        <f t="shared" si="4"/>
        <v>2.3006134969325154</v>
      </c>
      <c r="O109" s="6">
        <v>498</v>
      </c>
      <c r="P109" s="6">
        <v>285</v>
      </c>
      <c r="Q109" s="6">
        <v>213</v>
      </c>
      <c r="R109" s="7">
        <v>83.557046979865774</v>
      </c>
      <c r="S109" s="7">
        <v>93.75</v>
      </c>
      <c r="T109" s="7">
        <v>72.945205479452056</v>
      </c>
      <c r="U109" s="15">
        <f t="shared" si="5"/>
        <v>1</v>
      </c>
    </row>
    <row r="110" spans="1:21" ht="18.75" customHeight="1">
      <c r="A110" s="16">
        <v>112</v>
      </c>
      <c r="B110" s="3">
        <v>49</v>
      </c>
      <c r="C110" s="4" t="s">
        <v>130</v>
      </c>
      <c r="D110" s="9" t="s">
        <v>441</v>
      </c>
      <c r="E110" s="5" t="s">
        <v>82</v>
      </c>
      <c r="F110" s="6">
        <v>200</v>
      </c>
      <c r="G110" s="6">
        <v>1018</v>
      </c>
      <c r="H110" s="6">
        <v>539</v>
      </c>
      <c r="I110" s="6">
        <v>479</v>
      </c>
      <c r="J110" s="17">
        <f t="shared" si="3"/>
        <v>888.68274582560286</v>
      </c>
      <c r="K110" s="6">
        <v>272</v>
      </c>
      <c r="L110" s="6">
        <v>148</v>
      </c>
      <c r="M110" s="6">
        <v>124</v>
      </c>
      <c r="N110" s="7">
        <f t="shared" si="4"/>
        <v>26.719056974459725</v>
      </c>
      <c r="O110" s="6">
        <v>717</v>
      </c>
      <c r="P110" s="6">
        <v>408</v>
      </c>
      <c r="Q110" s="6">
        <v>309</v>
      </c>
      <c r="R110" s="7">
        <v>79.490022172949011</v>
      </c>
      <c r="S110" s="7">
        <v>85.894736842105274</v>
      </c>
      <c r="T110" s="7">
        <v>72.365339578454339</v>
      </c>
      <c r="U110" s="15">
        <f t="shared" si="5"/>
        <v>2</v>
      </c>
    </row>
    <row r="111" spans="1:21" ht="18.75" customHeight="1">
      <c r="A111" s="16">
        <v>113</v>
      </c>
      <c r="B111" s="3">
        <v>50</v>
      </c>
      <c r="C111" s="4" t="s">
        <v>131</v>
      </c>
      <c r="D111" s="9" t="s">
        <v>441</v>
      </c>
      <c r="E111" s="5" t="s">
        <v>82</v>
      </c>
      <c r="F111" s="6">
        <v>203</v>
      </c>
      <c r="G111" s="6">
        <v>952</v>
      </c>
      <c r="H111" s="6">
        <v>503</v>
      </c>
      <c r="I111" s="6">
        <v>449</v>
      </c>
      <c r="J111" s="17">
        <f t="shared" si="3"/>
        <v>892.64413518886681</v>
      </c>
      <c r="K111" s="6">
        <v>544</v>
      </c>
      <c r="L111" s="6">
        <v>291</v>
      </c>
      <c r="M111" s="6">
        <v>253</v>
      </c>
      <c r="N111" s="7">
        <f t="shared" si="4"/>
        <v>57.142857142857139</v>
      </c>
      <c r="O111" s="6">
        <v>623</v>
      </c>
      <c r="P111" s="6">
        <v>372</v>
      </c>
      <c r="Q111" s="6">
        <v>251</v>
      </c>
      <c r="R111" s="7">
        <v>73.466981132075475</v>
      </c>
      <c r="S111" s="7">
        <v>81.93832599118943</v>
      </c>
      <c r="T111" s="7">
        <v>63.705583756345177</v>
      </c>
      <c r="U111" s="15">
        <f t="shared" si="5"/>
        <v>2</v>
      </c>
    </row>
    <row r="112" spans="1:21" ht="18.75" customHeight="1">
      <c r="A112" s="16">
        <v>114</v>
      </c>
      <c r="B112" s="3">
        <v>51</v>
      </c>
      <c r="C112" s="4" t="s">
        <v>132</v>
      </c>
      <c r="D112" s="9" t="s">
        <v>441</v>
      </c>
      <c r="E112" s="5" t="s">
        <v>82</v>
      </c>
      <c r="F112" s="6">
        <v>412</v>
      </c>
      <c r="G112" s="6">
        <v>1943</v>
      </c>
      <c r="H112" s="6">
        <v>1032</v>
      </c>
      <c r="I112" s="6">
        <v>911</v>
      </c>
      <c r="J112" s="17">
        <f t="shared" si="3"/>
        <v>882.75193798449618</v>
      </c>
      <c r="K112" s="6">
        <v>1034</v>
      </c>
      <c r="L112" s="6">
        <v>556</v>
      </c>
      <c r="M112" s="6">
        <v>478</v>
      </c>
      <c r="N112" s="7">
        <f t="shared" si="4"/>
        <v>53.216675244467318</v>
      </c>
      <c r="O112" s="6">
        <v>1320</v>
      </c>
      <c r="P112" s="6">
        <v>773</v>
      </c>
      <c r="Q112" s="6">
        <v>547</v>
      </c>
      <c r="R112" s="7">
        <v>76.212471131639731</v>
      </c>
      <c r="S112" s="7">
        <v>83.930510314875136</v>
      </c>
      <c r="T112" s="7">
        <v>67.447595561035754</v>
      </c>
      <c r="U112" s="15">
        <f t="shared" si="5"/>
        <v>2</v>
      </c>
    </row>
    <row r="113" spans="1:21" ht="18.75" customHeight="1">
      <c r="A113" s="16">
        <v>115</v>
      </c>
      <c r="B113" s="3">
        <v>52</v>
      </c>
      <c r="C113" s="4" t="s">
        <v>133</v>
      </c>
      <c r="D113" s="9" t="s">
        <v>441</v>
      </c>
      <c r="E113" s="5" t="s">
        <v>82</v>
      </c>
      <c r="F113" s="6">
        <v>185</v>
      </c>
      <c r="G113" s="6">
        <v>978</v>
      </c>
      <c r="H113" s="6">
        <v>508</v>
      </c>
      <c r="I113" s="6">
        <v>470</v>
      </c>
      <c r="J113" s="17">
        <f t="shared" si="3"/>
        <v>925.19685039370086</v>
      </c>
      <c r="K113" s="6">
        <v>536</v>
      </c>
      <c r="L113" s="6">
        <v>280</v>
      </c>
      <c r="M113" s="6">
        <v>256</v>
      </c>
      <c r="N113" s="7">
        <f t="shared" si="4"/>
        <v>54.805725971370144</v>
      </c>
      <c r="O113" s="6">
        <v>632</v>
      </c>
      <c r="P113" s="6">
        <v>357</v>
      </c>
      <c r="Q113" s="6">
        <v>275</v>
      </c>
      <c r="R113" s="7">
        <v>72.811059907834093</v>
      </c>
      <c r="S113" s="7">
        <v>79.157427937915742</v>
      </c>
      <c r="T113" s="7">
        <v>65.947242206235018</v>
      </c>
      <c r="U113" s="15">
        <f t="shared" si="5"/>
        <v>1</v>
      </c>
    </row>
    <row r="114" spans="1:21" ht="18.75" customHeight="1">
      <c r="A114" s="16">
        <v>116</v>
      </c>
      <c r="B114" s="3">
        <v>53</v>
      </c>
      <c r="C114" s="4" t="s">
        <v>134</v>
      </c>
      <c r="D114" s="9" t="s">
        <v>441</v>
      </c>
      <c r="E114" s="5" t="s">
        <v>82</v>
      </c>
      <c r="F114" s="6">
        <v>203</v>
      </c>
      <c r="G114" s="6">
        <v>1144</v>
      </c>
      <c r="H114" s="6">
        <v>624</v>
      </c>
      <c r="I114" s="6">
        <v>520</v>
      </c>
      <c r="J114" s="17">
        <f t="shared" si="3"/>
        <v>833.33333333333337</v>
      </c>
      <c r="K114" s="6">
        <v>233</v>
      </c>
      <c r="L114" s="6">
        <v>129</v>
      </c>
      <c r="M114" s="6">
        <v>104</v>
      </c>
      <c r="N114" s="7">
        <f t="shared" si="4"/>
        <v>20.367132867132867</v>
      </c>
      <c r="O114" s="6">
        <v>787</v>
      </c>
      <c r="P114" s="6">
        <v>451</v>
      </c>
      <c r="Q114" s="6">
        <v>336</v>
      </c>
      <c r="R114" s="7">
        <v>76.482021379980552</v>
      </c>
      <c r="S114" s="7">
        <v>82.149362477231321</v>
      </c>
      <c r="T114" s="7">
        <v>70</v>
      </c>
      <c r="U114" s="15">
        <f t="shared" si="5"/>
        <v>2</v>
      </c>
    </row>
    <row r="115" spans="1:21" ht="18.75" customHeight="1">
      <c r="A115" s="16">
        <v>117</v>
      </c>
      <c r="B115" s="3">
        <v>54</v>
      </c>
      <c r="C115" s="4" t="s">
        <v>135</v>
      </c>
      <c r="D115" s="9" t="s">
        <v>441</v>
      </c>
      <c r="E115" s="5" t="s">
        <v>82</v>
      </c>
      <c r="F115" s="6">
        <v>314</v>
      </c>
      <c r="G115" s="6">
        <v>1673</v>
      </c>
      <c r="H115" s="6">
        <v>885</v>
      </c>
      <c r="I115" s="6">
        <v>788</v>
      </c>
      <c r="J115" s="17">
        <f t="shared" si="3"/>
        <v>890.39548022598865</v>
      </c>
      <c r="K115" s="6">
        <v>233</v>
      </c>
      <c r="L115" s="6">
        <v>127</v>
      </c>
      <c r="M115" s="6">
        <v>106</v>
      </c>
      <c r="N115" s="7">
        <f t="shared" si="4"/>
        <v>13.927077106993424</v>
      </c>
      <c r="O115" s="6">
        <v>1216</v>
      </c>
      <c r="P115" s="6">
        <v>694</v>
      </c>
      <c r="Q115" s="6">
        <v>522</v>
      </c>
      <c r="R115" s="7">
        <v>80.317040951122848</v>
      </c>
      <c r="S115" s="7">
        <v>87.515762925598992</v>
      </c>
      <c r="T115" s="7">
        <v>72.399445214979195</v>
      </c>
      <c r="U115" s="15">
        <f t="shared" si="5"/>
        <v>2</v>
      </c>
    </row>
    <row r="116" spans="1:21" ht="18.75" customHeight="1">
      <c r="A116" s="16">
        <v>118</v>
      </c>
      <c r="B116" s="3">
        <v>55</v>
      </c>
      <c r="C116" s="4" t="s">
        <v>136</v>
      </c>
      <c r="D116" s="9" t="s">
        <v>441</v>
      </c>
      <c r="E116" s="5" t="s">
        <v>82</v>
      </c>
      <c r="F116" s="6">
        <v>49</v>
      </c>
      <c r="G116" s="6">
        <v>334</v>
      </c>
      <c r="H116" s="6">
        <v>170</v>
      </c>
      <c r="I116" s="6">
        <v>164</v>
      </c>
      <c r="J116" s="17">
        <f t="shared" si="3"/>
        <v>964.70588235294122</v>
      </c>
      <c r="K116" s="6">
        <v>32</v>
      </c>
      <c r="L116" s="6">
        <v>17</v>
      </c>
      <c r="M116" s="6">
        <v>15</v>
      </c>
      <c r="N116" s="7">
        <f t="shared" si="4"/>
        <v>9.5808383233532943</v>
      </c>
      <c r="O116" s="6">
        <v>236</v>
      </c>
      <c r="P116" s="6">
        <v>130</v>
      </c>
      <c r="Q116" s="6">
        <v>106</v>
      </c>
      <c r="R116" s="7">
        <v>77.631578947368425</v>
      </c>
      <c r="S116" s="7">
        <v>83.870967741935488</v>
      </c>
      <c r="T116" s="7">
        <v>71.140939597315437</v>
      </c>
      <c r="U116" s="15">
        <f t="shared" si="5"/>
        <v>1</v>
      </c>
    </row>
    <row r="117" spans="1:21" ht="18.75" customHeight="1">
      <c r="A117" s="16">
        <v>119</v>
      </c>
      <c r="B117" s="3">
        <v>56</v>
      </c>
      <c r="C117" s="4" t="s">
        <v>137</v>
      </c>
      <c r="D117" s="9" t="s">
        <v>441</v>
      </c>
      <c r="E117" s="5" t="s">
        <v>82</v>
      </c>
      <c r="F117" s="6">
        <v>867</v>
      </c>
      <c r="G117" s="6">
        <v>4546</v>
      </c>
      <c r="H117" s="6">
        <v>2422</v>
      </c>
      <c r="I117" s="6">
        <v>2124</v>
      </c>
      <c r="J117" s="17">
        <f t="shared" si="3"/>
        <v>876.96118909991742</v>
      </c>
      <c r="K117" s="6">
        <v>1385</v>
      </c>
      <c r="L117" s="6">
        <v>737</v>
      </c>
      <c r="M117" s="6">
        <v>648</v>
      </c>
      <c r="N117" s="7">
        <f t="shared" si="4"/>
        <v>30.466344038715356</v>
      </c>
      <c r="O117" s="6">
        <v>3041</v>
      </c>
      <c r="P117" s="6">
        <v>1805</v>
      </c>
      <c r="Q117" s="6">
        <v>1236</v>
      </c>
      <c r="R117" s="7">
        <v>75.049358341559724</v>
      </c>
      <c r="S117" s="7">
        <v>83.875464684014872</v>
      </c>
      <c r="T117" s="7">
        <v>65.05263157894737</v>
      </c>
      <c r="U117" s="15">
        <f t="shared" si="5"/>
        <v>2</v>
      </c>
    </row>
    <row r="118" spans="1:21" ht="18.75" customHeight="1">
      <c r="A118" s="16">
        <v>120</v>
      </c>
      <c r="B118" s="3">
        <v>57</v>
      </c>
      <c r="C118" s="4" t="s">
        <v>138</v>
      </c>
      <c r="D118" s="9" t="s">
        <v>441</v>
      </c>
      <c r="E118" s="5" t="s">
        <v>82</v>
      </c>
      <c r="F118" s="6">
        <v>127</v>
      </c>
      <c r="G118" s="6">
        <v>681</v>
      </c>
      <c r="H118" s="6">
        <v>358</v>
      </c>
      <c r="I118" s="6">
        <v>323</v>
      </c>
      <c r="J118" s="17">
        <f t="shared" si="3"/>
        <v>902.23463687150843</v>
      </c>
      <c r="K118" s="6">
        <v>402</v>
      </c>
      <c r="L118" s="6">
        <v>211</v>
      </c>
      <c r="M118" s="6">
        <v>191</v>
      </c>
      <c r="N118" s="7">
        <f t="shared" si="4"/>
        <v>59.030837004405292</v>
      </c>
      <c r="O118" s="6">
        <v>430</v>
      </c>
      <c r="P118" s="6">
        <v>247</v>
      </c>
      <c r="Q118" s="6">
        <v>183</v>
      </c>
      <c r="R118" s="7">
        <v>74.010327022375208</v>
      </c>
      <c r="S118" s="7">
        <v>81.25</v>
      </c>
      <c r="T118" s="7">
        <v>66.064981949458485</v>
      </c>
      <c r="U118" s="15">
        <f t="shared" si="5"/>
        <v>1</v>
      </c>
    </row>
    <row r="119" spans="1:21" ht="18.75" customHeight="1">
      <c r="A119" s="16">
        <v>121</v>
      </c>
      <c r="B119" s="3">
        <v>58</v>
      </c>
      <c r="C119" s="4" t="s">
        <v>139</v>
      </c>
      <c r="D119" s="9" t="s">
        <v>441</v>
      </c>
      <c r="E119" s="5" t="s">
        <v>82</v>
      </c>
      <c r="F119" s="6">
        <v>321</v>
      </c>
      <c r="G119" s="6">
        <v>1643</v>
      </c>
      <c r="H119" s="6">
        <v>859</v>
      </c>
      <c r="I119" s="6">
        <v>784</v>
      </c>
      <c r="J119" s="17">
        <f t="shared" si="3"/>
        <v>912.68917345750879</v>
      </c>
      <c r="K119" s="6">
        <v>590</v>
      </c>
      <c r="L119" s="6">
        <v>307</v>
      </c>
      <c r="M119" s="6">
        <v>283</v>
      </c>
      <c r="N119" s="7">
        <f t="shared" si="4"/>
        <v>35.909920876445526</v>
      </c>
      <c r="O119" s="6">
        <v>1058</v>
      </c>
      <c r="P119" s="6">
        <v>592</v>
      </c>
      <c r="Q119" s="6">
        <v>466</v>
      </c>
      <c r="R119" s="7">
        <v>71.923861318830731</v>
      </c>
      <c r="S119" s="7">
        <v>78.100263852242747</v>
      </c>
      <c r="T119" s="7">
        <v>65.357643758765789</v>
      </c>
      <c r="U119" s="15">
        <f t="shared" si="5"/>
        <v>1</v>
      </c>
    </row>
    <row r="120" spans="1:21" ht="18.75" customHeight="1">
      <c r="A120" s="16">
        <v>122</v>
      </c>
      <c r="B120" s="3">
        <v>59</v>
      </c>
      <c r="C120" s="4" t="s">
        <v>140</v>
      </c>
      <c r="D120" s="9" t="s">
        <v>441</v>
      </c>
      <c r="E120" s="5" t="s">
        <v>82</v>
      </c>
      <c r="F120" s="6">
        <v>15</v>
      </c>
      <c r="G120" s="6">
        <v>76</v>
      </c>
      <c r="H120" s="6">
        <v>40</v>
      </c>
      <c r="I120" s="6">
        <v>36</v>
      </c>
      <c r="J120" s="17">
        <f t="shared" si="3"/>
        <v>900</v>
      </c>
      <c r="K120" s="6">
        <v>21</v>
      </c>
      <c r="L120" s="6">
        <v>13</v>
      </c>
      <c r="M120" s="6">
        <v>8</v>
      </c>
      <c r="N120" s="7">
        <f t="shared" si="4"/>
        <v>27.631578947368425</v>
      </c>
      <c r="O120" s="6">
        <v>49</v>
      </c>
      <c r="P120" s="6">
        <v>29</v>
      </c>
      <c r="Q120" s="6">
        <v>20</v>
      </c>
      <c r="R120" s="7">
        <v>76.5625</v>
      </c>
      <c r="S120" s="7">
        <v>87.878787878787875</v>
      </c>
      <c r="T120" s="7">
        <v>64.516129032258064</v>
      </c>
      <c r="U120" s="15">
        <f t="shared" si="5"/>
        <v>2</v>
      </c>
    </row>
    <row r="121" spans="1:21" ht="18.75" customHeight="1">
      <c r="A121" s="16">
        <v>123</v>
      </c>
      <c r="B121" s="3">
        <v>60</v>
      </c>
      <c r="C121" s="4" t="s">
        <v>141</v>
      </c>
      <c r="D121" s="9" t="s">
        <v>441</v>
      </c>
      <c r="E121" s="5" t="s">
        <v>82</v>
      </c>
      <c r="F121" s="6">
        <v>744</v>
      </c>
      <c r="G121" s="6">
        <v>3345</v>
      </c>
      <c r="H121" s="6">
        <v>1780</v>
      </c>
      <c r="I121" s="6">
        <v>1565</v>
      </c>
      <c r="J121" s="17">
        <f t="shared" si="3"/>
        <v>879.21348314606735</v>
      </c>
      <c r="K121" s="6">
        <v>754</v>
      </c>
      <c r="L121" s="6">
        <v>404</v>
      </c>
      <c r="M121" s="6">
        <v>350</v>
      </c>
      <c r="N121" s="7">
        <f t="shared" si="4"/>
        <v>22.541106128550076</v>
      </c>
      <c r="O121" s="6">
        <v>2212</v>
      </c>
      <c r="P121" s="6">
        <v>1302</v>
      </c>
      <c r="Q121" s="6">
        <v>910</v>
      </c>
      <c r="R121" s="7">
        <v>76.513317191283292</v>
      </c>
      <c r="S121" s="7">
        <v>84.108527131782949</v>
      </c>
      <c r="T121" s="7">
        <v>67.758749069247955</v>
      </c>
      <c r="U121" s="15">
        <f t="shared" si="5"/>
        <v>2</v>
      </c>
    </row>
    <row r="122" spans="1:21" ht="18.75" customHeight="1">
      <c r="A122" s="16">
        <v>124</v>
      </c>
      <c r="B122" s="3">
        <v>61</v>
      </c>
      <c r="C122" s="4" t="s">
        <v>142</v>
      </c>
      <c r="D122" s="9" t="s">
        <v>441</v>
      </c>
      <c r="E122" s="5" t="s">
        <v>82</v>
      </c>
      <c r="F122" s="6">
        <v>222</v>
      </c>
      <c r="G122" s="6">
        <v>1084</v>
      </c>
      <c r="H122" s="6">
        <v>591</v>
      </c>
      <c r="I122" s="6">
        <v>493</v>
      </c>
      <c r="J122" s="17">
        <f t="shared" si="3"/>
        <v>834.17935702199668</v>
      </c>
      <c r="K122" s="6">
        <v>70</v>
      </c>
      <c r="L122" s="6">
        <v>39</v>
      </c>
      <c r="M122" s="6">
        <v>31</v>
      </c>
      <c r="N122" s="7">
        <f t="shared" si="4"/>
        <v>6.4575645756457565</v>
      </c>
      <c r="O122" s="6">
        <v>697</v>
      </c>
      <c r="P122" s="6">
        <v>409</v>
      </c>
      <c r="Q122" s="6">
        <v>288</v>
      </c>
      <c r="R122" s="7">
        <v>72.67987486965589</v>
      </c>
      <c r="S122" s="7">
        <v>78.95752895752895</v>
      </c>
      <c r="T122" s="7">
        <v>65.306122448979593</v>
      </c>
      <c r="U122" s="15">
        <f t="shared" si="5"/>
        <v>2</v>
      </c>
    </row>
    <row r="123" spans="1:21" ht="18.75" customHeight="1">
      <c r="A123" s="16">
        <v>125</v>
      </c>
      <c r="B123" s="3">
        <v>62</v>
      </c>
      <c r="C123" s="4" t="s">
        <v>143</v>
      </c>
      <c r="D123" s="9" t="s">
        <v>441</v>
      </c>
      <c r="E123" s="5" t="s">
        <v>82</v>
      </c>
      <c r="F123" s="6">
        <v>116</v>
      </c>
      <c r="G123" s="6">
        <v>561</v>
      </c>
      <c r="H123" s="6">
        <v>299</v>
      </c>
      <c r="I123" s="6">
        <v>262</v>
      </c>
      <c r="J123" s="17">
        <f t="shared" si="3"/>
        <v>876.25418060200661</v>
      </c>
      <c r="K123" s="6">
        <v>195</v>
      </c>
      <c r="L123" s="6">
        <v>108</v>
      </c>
      <c r="M123" s="6">
        <v>87</v>
      </c>
      <c r="N123" s="7">
        <f t="shared" si="4"/>
        <v>34.759358288770052</v>
      </c>
      <c r="O123" s="6">
        <v>375</v>
      </c>
      <c r="P123" s="6">
        <v>210</v>
      </c>
      <c r="Q123" s="6">
        <v>165</v>
      </c>
      <c r="R123" s="7">
        <v>76.219512195121951</v>
      </c>
      <c r="S123" s="7">
        <v>80.769230769230774</v>
      </c>
      <c r="T123" s="7">
        <v>71.120689655172413</v>
      </c>
      <c r="U123" s="15">
        <f t="shared" si="5"/>
        <v>2</v>
      </c>
    </row>
    <row r="124" spans="1:21" ht="18.75" customHeight="1">
      <c r="A124" s="16">
        <v>126</v>
      </c>
      <c r="B124" s="3">
        <v>63</v>
      </c>
      <c r="C124" s="4" t="s">
        <v>144</v>
      </c>
      <c r="D124" s="9" t="s">
        <v>441</v>
      </c>
      <c r="E124" s="5" t="s">
        <v>82</v>
      </c>
      <c r="F124" s="6">
        <v>72</v>
      </c>
      <c r="G124" s="6">
        <v>423</v>
      </c>
      <c r="H124" s="6">
        <v>221</v>
      </c>
      <c r="I124" s="6">
        <v>202</v>
      </c>
      <c r="J124" s="17">
        <f t="shared" si="3"/>
        <v>914.02714932126696</v>
      </c>
      <c r="K124" s="6">
        <v>60</v>
      </c>
      <c r="L124" s="6">
        <v>33</v>
      </c>
      <c r="M124" s="6">
        <v>27</v>
      </c>
      <c r="N124" s="7">
        <f t="shared" si="4"/>
        <v>14.184397163120568</v>
      </c>
      <c r="O124" s="6">
        <v>280</v>
      </c>
      <c r="P124" s="6">
        <v>158</v>
      </c>
      <c r="Q124" s="6">
        <v>122</v>
      </c>
      <c r="R124" s="7">
        <v>76.294277929155314</v>
      </c>
      <c r="S124" s="7">
        <v>83.15789473684211</v>
      </c>
      <c r="T124" s="7">
        <v>68.926553672316388</v>
      </c>
      <c r="U124" s="15">
        <f t="shared" si="5"/>
        <v>1</v>
      </c>
    </row>
    <row r="125" spans="1:21" ht="18.75" customHeight="1">
      <c r="A125" s="16">
        <v>127</v>
      </c>
      <c r="B125" s="3">
        <v>64</v>
      </c>
      <c r="C125" s="4" t="s">
        <v>145</v>
      </c>
      <c r="D125" s="9" t="s">
        <v>441</v>
      </c>
      <c r="E125" s="5" t="s">
        <v>82</v>
      </c>
      <c r="F125" s="6">
        <v>114</v>
      </c>
      <c r="G125" s="6">
        <v>562</v>
      </c>
      <c r="H125" s="6">
        <v>308</v>
      </c>
      <c r="I125" s="6">
        <v>254</v>
      </c>
      <c r="J125" s="17">
        <f t="shared" si="3"/>
        <v>824.67532467532465</v>
      </c>
      <c r="K125" s="6">
        <v>130</v>
      </c>
      <c r="L125" s="6">
        <v>69</v>
      </c>
      <c r="M125" s="6">
        <v>61</v>
      </c>
      <c r="N125" s="7">
        <f t="shared" si="4"/>
        <v>23.131672597864767</v>
      </c>
      <c r="O125" s="6">
        <v>284</v>
      </c>
      <c r="P125" s="6">
        <v>169</v>
      </c>
      <c r="Q125" s="6">
        <v>115</v>
      </c>
      <c r="R125" s="7">
        <v>57.841140529531565</v>
      </c>
      <c r="S125" s="7">
        <v>63.533834586466163</v>
      </c>
      <c r="T125" s="7">
        <v>51.111111111111107</v>
      </c>
      <c r="U125" s="15">
        <f t="shared" si="5"/>
        <v>2</v>
      </c>
    </row>
    <row r="126" spans="1:21" ht="18.75" customHeight="1">
      <c r="A126" s="16">
        <v>128</v>
      </c>
      <c r="B126" s="3">
        <v>65</v>
      </c>
      <c r="C126" s="4" t="s">
        <v>146</v>
      </c>
      <c r="D126" s="9" t="s">
        <v>441</v>
      </c>
      <c r="E126" s="5" t="s">
        <v>82</v>
      </c>
      <c r="F126" s="6">
        <v>18</v>
      </c>
      <c r="G126" s="6">
        <v>99</v>
      </c>
      <c r="H126" s="6">
        <v>54</v>
      </c>
      <c r="I126" s="6">
        <v>45</v>
      </c>
      <c r="J126" s="17">
        <f t="shared" si="3"/>
        <v>833.33333333333337</v>
      </c>
      <c r="K126" s="6">
        <v>4</v>
      </c>
      <c r="L126" s="6">
        <v>3</v>
      </c>
      <c r="M126" s="6">
        <v>1</v>
      </c>
      <c r="N126" s="7">
        <f t="shared" si="4"/>
        <v>4.0404040404040407</v>
      </c>
      <c r="O126" s="6">
        <v>51</v>
      </c>
      <c r="P126" s="6">
        <v>33</v>
      </c>
      <c r="Q126" s="6">
        <v>18</v>
      </c>
      <c r="R126" s="7">
        <v>59.302325581395351</v>
      </c>
      <c r="S126" s="7">
        <v>71.739130434782609</v>
      </c>
      <c r="T126" s="7">
        <v>45</v>
      </c>
      <c r="U126" s="15">
        <f t="shared" si="5"/>
        <v>2</v>
      </c>
    </row>
    <row r="127" spans="1:21" ht="18.75" customHeight="1">
      <c r="A127" s="16">
        <v>129</v>
      </c>
      <c r="B127" s="3">
        <v>66</v>
      </c>
      <c r="C127" s="4" t="s">
        <v>147</v>
      </c>
      <c r="D127" s="9" t="s">
        <v>441</v>
      </c>
      <c r="E127" s="5" t="s">
        <v>82</v>
      </c>
      <c r="F127" s="6">
        <v>316</v>
      </c>
      <c r="G127" s="6">
        <v>1652</v>
      </c>
      <c r="H127" s="6">
        <v>857</v>
      </c>
      <c r="I127" s="6">
        <v>795</v>
      </c>
      <c r="J127" s="17">
        <f t="shared" si="3"/>
        <v>927.65460910151683</v>
      </c>
      <c r="K127" s="6">
        <v>786</v>
      </c>
      <c r="L127" s="6">
        <v>422</v>
      </c>
      <c r="M127" s="6">
        <v>364</v>
      </c>
      <c r="N127" s="7">
        <f t="shared" si="4"/>
        <v>47.578692493946733</v>
      </c>
      <c r="O127" s="6">
        <v>1140</v>
      </c>
      <c r="P127" s="6">
        <v>661</v>
      </c>
      <c r="Q127" s="6">
        <v>479</v>
      </c>
      <c r="R127" s="7">
        <v>78.620689655172413</v>
      </c>
      <c r="S127" s="7">
        <v>87.318361955085862</v>
      </c>
      <c r="T127" s="7">
        <v>69.119769119769117</v>
      </c>
      <c r="U127" s="15">
        <f t="shared" si="5"/>
        <v>1</v>
      </c>
    </row>
    <row r="128" spans="1:21" ht="18.75" customHeight="1">
      <c r="A128" s="16">
        <v>130</v>
      </c>
      <c r="B128" s="3">
        <v>67</v>
      </c>
      <c r="C128" s="4" t="s">
        <v>148</v>
      </c>
      <c r="D128" s="9" t="s">
        <v>441</v>
      </c>
      <c r="E128" s="5" t="s">
        <v>82</v>
      </c>
      <c r="F128" s="6">
        <v>72</v>
      </c>
      <c r="G128" s="6">
        <v>370</v>
      </c>
      <c r="H128" s="6">
        <v>192</v>
      </c>
      <c r="I128" s="6">
        <v>178</v>
      </c>
      <c r="J128" s="17">
        <f t="shared" si="3"/>
        <v>927.08333333333337</v>
      </c>
      <c r="K128" s="6">
        <v>23</v>
      </c>
      <c r="L128" s="6">
        <v>13</v>
      </c>
      <c r="M128" s="6">
        <v>10</v>
      </c>
      <c r="N128" s="7">
        <f t="shared" si="4"/>
        <v>6.2162162162162167</v>
      </c>
      <c r="O128" s="6">
        <v>199</v>
      </c>
      <c r="P128" s="6">
        <v>121</v>
      </c>
      <c r="Q128" s="6">
        <v>78</v>
      </c>
      <c r="R128" s="7">
        <v>63.375796178343947</v>
      </c>
      <c r="S128" s="7">
        <v>72.023809523809518</v>
      </c>
      <c r="T128" s="7">
        <v>53.424657534246577</v>
      </c>
      <c r="U128" s="15">
        <f t="shared" si="5"/>
        <v>1</v>
      </c>
    </row>
    <row r="129" spans="1:21" ht="18.75" customHeight="1">
      <c r="A129" s="16">
        <v>131</v>
      </c>
      <c r="B129" s="3">
        <v>68</v>
      </c>
      <c r="C129" s="4" t="s">
        <v>149</v>
      </c>
      <c r="D129" s="9" t="s">
        <v>441</v>
      </c>
      <c r="E129" s="5" t="s">
        <v>82</v>
      </c>
      <c r="F129" s="6">
        <v>538</v>
      </c>
      <c r="G129" s="6">
        <v>2762</v>
      </c>
      <c r="H129" s="6">
        <v>1472</v>
      </c>
      <c r="I129" s="6">
        <v>1290</v>
      </c>
      <c r="J129" s="17">
        <f t="shared" si="3"/>
        <v>876.35869565217399</v>
      </c>
      <c r="K129" s="6">
        <v>715</v>
      </c>
      <c r="L129" s="6">
        <v>387</v>
      </c>
      <c r="M129" s="6">
        <v>328</v>
      </c>
      <c r="N129" s="7">
        <f t="shared" si="4"/>
        <v>25.887038377986965</v>
      </c>
      <c r="O129" s="6">
        <v>1847</v>
      </c>
      <c r="P129" s="6">
        <v>1105</v>
      </c>
      <c r="Q129" s="6">
        <v>742</v>
      </c>
      <c r="R129" s="7">
        <v>75.852156057494867</v>
      </c>
      <c r="S129" s="7">
        <v>85.526315789473685</v>
      </c>
      <c r="T129" s="7">
        <v>64.916885389326325</v>
      </c>
      <c r="U129" s="15">
        <f t="shared" si="5"/>
        <v>2</v>
      </c>
    </row>
    <row r="130" spans="1:21" ht="18.75" customHeight="1">
      <c r="A130" s="16">
        <v>132</v>
      </c>
      <c r="B130" s="3">
        <v>69</v>
      </c>
      <c r="C130" s="4" t="s">
        <v>150</v>
      </c>
      <c r="D130" s="9" t="s">
        <v>441</v>
      </c>
      <c r="E130" s="5" t="s">
        <v>82</v>
      </c>
      <c r="F130" s="6">
        <v>120</v>
      </c>
      <c r="G130" s="6">
        <v>663</v>
      </c>
      <c r="H130" s="6">
        <v>336</v>
      </c>
      <c r="I130" s="6">
        <v>327</v>
      </c>
      <c r="J130" s="17">
        <f t="shared" ref="J130:J193" si="6">I130/H130*1000</f>
        <v>973.21428571428567</v>
      </c>
      <c r="K130" s="6">
        <v>297</v>
      </c>
      <c r="L130" s="6">
        <v>149</v>
      </c>
      <c r="M130" s="6">
        <v>148</v>
      </c>
      <c r="N130" s="7">
        <f t="shared" ref="N130:N193" si="7">K130/G130*100</f>
        <v>44.796380090497742</v>
      </c>
      <c r="O130" s="6">
        <v>499</v>
      </c>
      <c r="P130" s="6">
        <v>275</v>
      </c>
      <c r="Q130" s="6">
        <v>224</v>
      </c>
      <c r="R130" s="7">
        <v>83.724832214765101</v>
      </c>
      <c r="S130" s="7">
        <v>88.996763754045304</v>
      </c>
      <c r="T130" s="7">
        <v>78.048780487804876</v>
      </c>
      <c r="U130" s="15">
        <f t="shared" si="5"/>
        <v>1</v>
      </c>
    </row>
    <row r="131" spans="1:21" ht="18.75" customHeight="1">
      <c r="A131" s="16">
        <v>133</v>
      </c>
      <c r="B131" s="3">
        <v>70</v>
      </c>
      <c r="C131" s="4" t="s">
        <v>151</v>
      </c>
      <c r="D131" s="9" t="s">
        <v>441</v>
      </c>
      <c r="E131" s="5" t="s">
        <v>82</v>
      </c>
      <c r="F131" s="6">
        <v>91</v>
      </c>
      <c r="G131" s="6">
        <v>438</v>
      </c>
      <c r="H131" s="6">
        <v>234</v>
      </c>
      <c r="I131" s="6">
        <v>204</v>
      </c>
      <c r="J131" s="17">
        <f t="shared" si="6"/>
        <v>871.79487179487182</v>
      </c>
      <c r="K131" s="6">
        <v>82</v>
      </c>
      <c r="L131" s="6">
        <v>45</v>
      </c>
      <c r="M131" s="6">
        <v>37</v>
      </c>
      <c r="N131" s="7">
        <f t="shared" si="7"/>
        <v>18.721461187214611</v>
      </c>
      <c r="O131" s="6">
        <v>322</v>
      </c>
      <c r="P131" s="6">
        <v>189</v>
      </c>
      <c r="Q131" s="6">
        <v>133</v>
      </c>
      <c r="R131" s="7">
        <v>80.701754385964904</v>
      </c>
      <c r="S131" s="7">
        <v>87.096774193548384</v>
      </c>
      <c r="T131" s="7">
        <v>73.076923076923066</v>
      </c>
      <c r="U131" s="15">
        <f t="shared" ref="U131:U194" si="8">IF($J131&gt;900,1,IF($J131&gt;800,2,IF($J131&gt;700,3,0)))</f>
        <v>2</v>
      </c>
    </row>
    <row r="132" spans="1:21" ht="18.75" customHeight="1">
      <c r="A132" s="16">
        <v>134</v>
      </c>
      <c r="B132" s="3">
        <v>71</v>
      </c>
      <c r="C132" s="4" t="s">
        <v>152</v>
      </c>
      <c r="D132" s="9" t="s">
        <v>441</v>
      </c>
      <c r="E132" s="5" t="s">
        <v>82</v>
      </c>
      <c r="F132" s="6">
        <v>25</v>
      </c>
      <c r="G132" s="6">
        <v>115</v>
      </c>
      <c r="H132" s="6">
        <v>63</v>
      </c>
      <c r="I132" s="6">
        <v>52</v>
      </c>
      <c r="J132" s="17">
        <f t="shared" si="6"/>
        <v>825.39682539682531</v>
      </c>
      <c r="K132" s="6">
        <v>0</v>
      </c>
      <c r="L132" s="6">
        <v>0</v>
      </c>
      <c r="M132" s="6">
        <v>0</v>
      </c>
      <c r="N132" s="7">
        <f t="shared" si="7"/>
        <v>0</v>
      </c>
      <c r="O132" s="6">
        <v>86</v>
      </c>
      <c r="P132" s="6">
        <v>49</v>
      </c>
      <c r="Q132" s="6">
        <v>37</v>
      </c>
      <c r="R132" s="7">
        <v>84.313725490196077</v>
      </c>
      <c r="S132" s="7">
        <v>90.740740740740748</v>
      </c>
      <c r="T132" s="7">
        <v>77.083333333333343</v>
      </c>
      <c r="U132" s="15">
        <f t="shared" si="8"/>
        <v>2</v>
      </c>
    </row>
    <row r="133" spans="1:21" ht="18.75" customHeight="1">
      <c r="A133" s="16">
        <v>135</v>
      </c>
      <c r="B133" s="3">
        <v>72</v>
      </c>
      <c r="C133" s="4" t="s">
        <v>153</v>
      </c>
      <c r="D133" s="9" t="s">
        <v>441</v>
      </c>
      <c r="E133" s="5" t="s">
        <v>82</v>
      </c>
      <c r="F133" s="6">
        <v>349</v>
      </c>
      <c r="G133" s="6">
        <v>1830</v>
      </c>
      <c r="H133" s="6">
        <v>985</v>
      </c>
      <c r="I133" s="6">
        <v>845</v>
      </c>
      <c r="J133" s="17">
        <f t="shared" si="6"/>
        <v>857.86802030456852</v>
      </c>
      <c r="K133" s="6">
        <v>885</v>
      </c>
      <c r="L133" s="6">
        <v>480</v>
      </c>
      <c r="M133" s="6">
        <v>405</v>
      </c>
      <c r="N133" s="7">
        <f t="shared" si="7"/>
        <v>48.360655737704917</v>
      </c>
      <c r="O133" s="6">
        <v>1320</v>
      </c>
      <c r="P133" s="6">
        <v>784</v>
      </c>
      <c r="Q133" s="6">
        <v>536</v>
      </c>
      <c r="R133" s="7">
        <v>81.03130755064457</v>
      </c>
      <c r="S133" s="7">
        <v>90.011481056257182</v>
      </c>
      <c r="T133" s="7">
        <v>70.712401055408975</v>
      </c>
      <c r="U133" s="15">
        <f t="shared" si="8"/>
        <v>2</v>
      </c>
    </row>
    <row r="134" spans="1:21" ht="18.75" customHeight="1">
      <c r="A134" s="16">
        <v>136</v>
      </c>
      <c r="B134" s="3">
        <v>73</v>
      </c>
      <c r="C134" s="4" t="s">
        <v>154</v>
      </c>
      <c r="D134" s="9" t="s">
        <v>441</v>
      </c>
      <c r="E134" s="5" t="s">
        <v>82</v>
      </c>
      <c r="F134" s="6">
        <v>214</v>
      </c>
      <c r="G134" s="6">
        <v>1090</v>
      </c>
      <c r="H134" s="6">
        <v>584</v>
      </c>
      <c r="I134" s="6">
        <v>506</v>
      </c>
      <c r="J134" s="17">
        <f t="shared" si="6"/>
        <v>866.43835616438355</v>
      </c>
      <c r="K134" s="6">
        <v>698</v>
      </c>
      <c r="L134" s="6">
        <v>381</v>
      </c>
      <c r="M134" s="6">
        <v>317</v>
      </c>
      <c r="N134" s="7">
        <f t="shared" si="7"/>
        <v>64.036697247706414</v>
      </c>
      <c r="O134" s="6">
        <v>617</v>
      </c>
      <c r="P134" s="6">
        <v>377</v>
      </c>
      <c r="Q134" s="6">
        <v>240</v>
      </c>
      <c r="R134" s="7">
        <v>66.63066954643628</v>
      </c>
      <c r="S134" s="7">
        <v>77.412731006160158</v>
      </c>
      <c r="T134" s="7">
        <v>54.66970387243736</v>
      </c>
      <c r="U134" s="15">
        <f t="shared" si="8"/>
        <v>2</v>
      </c>
    </row>
    <row r="135" spans="1:21" ht="18.75" customHeight="1">
      <c r="A135" s="16">
        <v>137</v>
      </c>
      <c r="B135" s="3">
        <v>74</v>
      </c>
      <c r="C135" s="4" t="s">
        <v>155</v>
      </c>
      <c r="D135" s="9" t="s">
        <v>441</v>
      </c>
      <c r="E135" s="5" t="s">
        <v>82</v>
      </c>
      <c r="F135" s="6">
        <v>435</v>
      </c>
      <c r="G135" s="6">
        <v>2579</v>
      </c>
      <c r="H135" s="6">
        <v>1377</v>
      </c>
      <c r="I135" s="6">
        <v>1202</v>
      </c>
      <c r="J135" s="17">
        <f t="shared" si="6"/>
        <v>872.91212781408854</v>
      </c>
      <c r="K135" s="6">
        <v>501</v>
      </c>
      <c r="L135" s="6">
        <v>279</v>
      </c>
      <c r="M135" s="6">
        <v>222</v>
      </c>
      <c r="N135" s="7">
        <f t="shared" si="7"/>
        <v>19.426134160527337</v>
      </c>
      <c r="O135" s="6">
        <v>1744</v>
      </c>
      <c r="P135" s="6">
        <v>1013</v>
      </c>
      <c r="Q135" s="6">
        <v>731</v>
      </c>
      <c r="R135" s="7">
        <v>76.659340659340657</v>
      </c>
      <c r="S135" s="7">
        <v>83.305921052631575</v>
      </c>
      <c r="T135" s="7">
        <v>69.027384324834756</v>
      </c>
      <c r="U135" s="15">
        <f t="shared" si="8"/>
        <v>2</v>
      </c>
    </row>
    <row r="136" spans="1:21" ht="18.75" customHeight="1">
      <c r="A136" s="16">
        <v>138</v>
      </c>
      <c r="B136" s="3">
        <v>75</v>
      </c>
      <c r="C136" s="4" t="s">
        <v>156</v>
      </c>
      <c r="D136" s="9" t="s">
        <v>441</v>
      </c>
      <c r="E136" s="5" t="s">
        <v>82</v>
      </c>
      <c r="F136" s="6">
        <v>190</v>
      </c>
      <c r="G136" s="6">
        <v>1069</v>
      </c>
      <c r="H136" s="6">
        <v>560</v>
      </c>
      <c r="I136" s="6">
        <v>509</v>
      </c>
      <c r="J136" s="17">
        <f t="shared" si="6"/>
        <v>908.92857142857144</v>
      </c>
      <c r="K136" s="6">
        <v>274</v>
      </c>
      <c r="L136" s="6">
        <v>147</v>
      </c>
      <c r="M136" s="6">
        <v>127</v>
      </c>
      <c r="N136" s="7">
        <f t="shared" si="7"/>
        <v>25.631431244153411</v>
      </c>
      <c r="O136" s="6">
        <v>733</v>
      </c>
      <c r="P136" s="6">
        <v>416</v>
      </c>
      <c r="Q136" s="6">
        <v>317</v>
      </c>
      <c r="R136" s="7">
        <v>76.354166666666671</v>
      </c>
      <c r="S136" s="7">
        <v>83.702213279678077</v>
      </c>
      <c r="T136" s="7">
        <v>68.466522678185754</v>
      </c>
      <c r="U136" s="15">
        <f t="shared" si="8"/>
        <v>1</v>
      </c>
    </row>
    <row r="137" spans="1:21" ht="18.75" customHeight="1">
      <c r="A137" s="16">
        <v>139</v>
      </c>
      <c r="B137" s="3">
        <v>76</v>
      </c>
      <c r="C137" s="4" t="s">
        <v>157</v>
      </c>
      <c r="D137" s="9" t="s">
        <v>441</v>
      </c>
      <c r="E137" s="5" t="s">
        <v>82</v>
      </c>
      <c r="F137" s="6">
        <v>187</v>
      </c>
      <c r="G137" s="6">
        <v>1090</v>
      </c>
      <c r="H137" s="6">
        <v>590</v>
      </c>
      <c r="I137" s="6">
        <v>500</v>
      </c>
      <c r="J137" s="17">
        <f t="shared" si="6"/>
        <v>847.45762711864404</v>
      </c>
      <c r="K137" s="6">
        <v>262</v>
      </c>
      <c r="L137" s="6">
        <v>136</v>
      </c>
      <c r="M137" s="6">
        <v>126</v>
      </c>
      <c r="N137" s="7">
        <f t="shared" si="7"/>
        <v>24.036697247706424</v>
      </c>
      <c r="O137" s="6">
        <v>766</v>
      </c>
      <c r="P137" s="6">
        <v>462</v>
      </c>
      <c r="Q137" s="6">
        <v>304</v>
      </c>
      <c r="R137" s="7">
        <v>78.323108384458067</v>
      </c>
      <c r="S137" s="7">
        <v>88</v>
      </c>
      <c r="T137" s="7">
        <v>67.108167770419428</v>
      </c>
      <c r="U137" s="15">
        <f t="shared" si="8"/>
        <v>2</v>
      </c>
    </row>
    <row r="138" spans="1:21" ht="18.75" customHeight="1">
      <c r="A138" s="16">
        <v>140</v>
      </c>
      <c r="B138" s="3">
        <v>77</v>
      </c>
      <c r="C138" s="4" t="s">
        <v>158</v>
      </c>
      <c r="D138" s="9" t="s">
        <v>441</v>
      </c>
      <c r="E138" s="5" t="s">
        <v>82</v>
      </c>
      <c r="F138" s="6">
        <v>44</v>
      </c>
      <c r="G138" s="6">
        <v>230</v>
      </c>
      <c r="H138" s="6">
        <v>120</v>
      </c>
      <c r="I138" s="6">
        <v>110</v>
      </c>
      <c r="J138" s="17">
        <f t="shared" si="6"/>
        <v>916.66666666666663</v>
      </c>
      <c r="K138" s="6">
        <v>3</v>
      </c>
      <c r="L138" s="6">
        <v>1</v>
      </c>
      <c r="M138" s="6">
        <v>2</v>
      </c>
      <c r="N138" s="7">
        <f t="shared" si="7"/>
        <v>1.3043478260869565</v>
      </c>
      <c r="O138" s="6">
        <v>139</v>
      </c>
      <c r="P138" s="6">
        <v>75</v>
      </c>
      <c r="Q138" s="6">
        <v>64</v>
      </c>
      <c r="R138" s="7">
        <v>68.472906403940897</v>
      </c>
      <c r="S138" s="7">
        <v>75.757575757575751</v>
      </c>
      <c r="T138" s="7">
        <v>61.53846153846154</v>
      </c>
      <c r="U138" s="15">
        <f t="shared" si="8"/>
        <v>1</v>
      </c>
    </row>
    <row r="139" spans="1:21" ht="18.75" customHeight="1">
      <c r="A139" s="16">
        <v>141</v>
      </c>
      <c r="B139" s="3">
        <v>78</v>
      </c>
      <c r="C139" s="4" t="s">
        <v>159</v>
      </c>
      <c r="D139" s="9" t="s">
        <v>441</v>
      </c>
      <c r="E139" s="5" t="s">
        <v>82</v>
      </c>
      <c r="F139" s="6">
        <v>555</v>
      </c>
      <c r="G139" s="6">
        <v>3134</v>
      </c>
      <c r="H139" s="6">
        <v>1647</v>
      </c>
      <c r="I139" s="6">
        <v>1487</v>
      </c>
      <c r="J139" s="17">
        <f t="shared" si="6"/>
        <v>902.85367334547664</v>
      </c>
      <c r="K139" s="6">
        <v>645</v>
      </c>
      <c r="L139" s="6">
        <v>331</v>
      </c>
      <c r="M139" s="6">
        <v>314</v>
      </c>
      <c r="N139" s="7">
        <f t="shared" si="7"/>
        <v>20.580727504786218</v>
      </c>
      <c r="O139" s="6">
        <v>2121</v>
      </c>
      <c r="P139" s="6">
        <v>1179</v>
      </c>
      <c r="Q139" s="6">
        <v>942</v>
      </c>
      <c r="R139" s="7">
        <v>76.736613603473231</v>
      </c>
      <c r="S139" s="7">
        <v>82.389937106918239</v>
      </c>
      <c r="T139" s="7">
        <v>70.667666916729175</v>
      </c>
      <c r="U139" s="15">
        <f t="shared" si="8"/>
        <v>1</v>
      </c>
    </row>
    <row r="140" spans="1:21" ht="18.75" customHeight="1">
      <c r="A140" s="16">
        <v>142</v>
      </c>
      <c r="B140" s="3">
        <v>79</v>
      </c>
      <c r="C140" s="4" t="s">
        <v>160</v>
      </c>
      <c r="D140" s="9" t="s">
        <v>441</v>
      </c>
      <c r="E140" s="5" t="s">
        <v>82</v>
      </c>
      <c r="F140" s="6">
        <v>208</v>
      </c>
      <c r="G140" s="6">
        <v>996</v>
      </c>
      <c r="H140" s="6">
        <v>516</v>
      </c>
      <c r="I140" s="6">
        <v>480</v>
      </c>
      <c r="J140" s="17">
        <f t="shared" si="6"/>
        <v>930.23255813953483</v>
      </c>
      <c r="K140" s="6">
        <v>193</v>
      </c>
      <c r="L140" s="6">
        <v>97</v>
      </c>
      <c r="M140" s="6">
        <v>96</v>
      </c>
      <c r="N140" s="7">
        <f t="shared" si="7"/>
        <v>19.377510040160644</v>
      </c>
      <c r="O140" s="6">
        <v>670</v>
      </c>
      <c r="P140" s="6">
        <v>382</v>
      </c>
      <c r="Q140" s="6">
        <v>288</v>
      </c>
      <c r="R140" s="7">
        <v>77.188940092165907</v>
      </c>
      <c r="S140" s="7">
        <v>84.513274336283189</v>
      </c>
      <c r="T140" s="7">
        <v>69.230769230769226</v>
      </c>
      <c r="U140" s="15">
        <f t="shared" si="8"/>
        <v>1</v>
      </c>
    </row>
    <row r="141" spans="1:21" ht="18.75" customHeight="1">
      <c r="A141" s="16">
        <v>143</v>
      </c>
      <c r="B141" s="3">
        <v>80</v>
      </c>
      <c r="C141" s="4" t="s">
        <v>161</v>
      </c>
      <c r="D141" s="9" t="s">
        <v>441</v>
      </c>
      <c r="E141" s="5" t="s">
        <v>82</v>
      </c>
      <c r="F141" s="6">
        <v>653</v>
      </c>
      <c r="G141" s="6">
        <v>3539</v>
      </c>
      <c r="H141" s="6">
        <v>1882</v>
      </c>
      <c r="I141" s="6">
        <v>1657</v>
      </c>
      <c r="J141" s="17">
        <f t="shared" si="6"/>
        <v>880.44633368756638</v>
      </c>
      <c r="K141" s="6">
        <v>630</v>
      </c>
      <c r="L141" s="6">
        <v>334</v>
      </c>
      <c r="M141" s="6">
        <v>296</v>
      </c>
      <c r="N141" s="7">
        <f t="shared" si="7"/>
        <v>17.801638881039842</v>
      </c>
      <c r="O141" s="6">
        <v>2169</v>
      </c>
      <c r="P141" s="6">
        <v>1234</v>
      </c>
      <c r="Q141" s="6">
        <v>935</v>
      </c>
      <c r="R141" s="7">
        <v>70.171465545131028</v>
      </c>
      <c r="S141" s="7">
        <v>76.503409795412281</v>
      </c>
      <c r="T141" s="7">
        <v>63.26116373477673</v>
      </c>
      <c r="U141" s="15">
        <f t="shared" si="8"/>
        <v>2</v>
      </c>
    </row>
    <row r="142" spans="1:21" ht="18.75" customHeight="1">
      <c r="A142" s="16">
        <v>144</v>
      </c>
      <c r="B142" s="3">
        <v>81</v>
      </c>
      <c r="C142" s="4" t="s">
        <v>162</v>
      </c>
      <c r="D142" s="9" t="s">
        <v>441</v>
      </c>
      <c r="E142" s="5" t="s">
        <v>82</v>
      </c>
      <c r="F142" s="6">
        <v>242</v>
      </c>
      <c r="G142" s="6">
        <v>1264</v>
      </c>
      <c r="H142" s="6">
        <v>660</v>
      </c>
      <c r="I142" s="6">
        <v>604</v>
      </c>
      <c r="J142" s="17">
        <f t="shared" si="6"/>
        <v>915.15151515151513</v>
      </c>
      <c r="K142" s="6">
        <v>529</v>
      </c>
      <c r="L142" s="6">
        <v>271</v>
      </c>
      <c r="M142" s="6">
        <v>258</v>
      </c>
      <c r="N142" s="7">
        <f t="shared" si="7"/>
        <v>41.851265822784811</v>
      </c>
      <c r="O142" s="6">
        <v>804</v>
      </c>
      <c r="P142" s="6">
        <v>469</v>
      </c>
      <c r="Q142" s="6">
        <v>335</v>
      </c>
      <c r="R142" s="7">
        <v>73.157415832575069</v>
      </c>
      <c r="S142" s="7">
        <v>81.993006993006986</v>
      </c>
      <c r="T142" s="7">
        <v>63.5673624288425</v>
      </c>
      <c r="U142" s="15">
        <f t="shared" si="8"/>
        <v>1</v>
      </c>
    </row>
    <row r="143" spans="1:21" ht="18.75" customHeight="1">
      <c r="A143" s="16">
        <v>145</v>
      </c>
      <c r="B143" s="3">
        <v>82</v>
      </c>
      <c r="C143" s="4" t="s">
        <v>163</v>
      </c>
      <c r="D143" s="9" t="s">
        <v>441</v>
      </c>
      <c r="E143" s="5" t="s">
        <v>82</v>
      </c>
      <c r="F143" s="6">
        <v>739</v>
      </c>
      <c r="G143" s="6">
        <v>3954</v>
      </c>
      <c r="H143" s="6">
        <v>2074</v>
      </c>
      <c r="I143" s="6">
        <v>1880</v>
      </c>
      <c r="J143" s="17">
        <f t="shared" si="6"/>
        <v>906.46094503375116</v>
      </c>
      <c r="K143" s="6">
        <v>1227</v>
      </c>
      <c r="L143" s="6">
        <v>637</v>
      </c>
      <c r="M143" s="6">
        <v>590</v>
      </c>
      <c r="N143" s="7">
        <f t="shared" si="7"/>
        <v>31.031866464339906</v>
      </c>
      <c r="O143" s="6">
        <v>2767</v>
      </c>
      <c r="P143" s="6">
        <v>1618</v>
      </c>
      <c r="Q143" s="6">
        <v>1149</v>
      </c>
      <c r="R143" s="7">
        <v>78.00958556526642</v>
      </c>
      <c r="S143" s="7">
        <v>87.791644058600099</v>
      </c>
      <c r="T143" s="7">
        <v>67.429577464788736</v>
      </c>
      <c r="U143" s="15">
        <f t="shared" si="8"/>
        <v>1</v>
      </c>
    </row>
    <row r="144" spans="1:21" ht="18.75" customHeight="1">
      <c r="A144" s="16">
        <v>146</v>
      </c>
      <c r="B144" s="3">
        <v>83</v>
      </c>
      <c r="C144" s="4" t="s">
        <v>164</v>
      </c>
      <c r="D144" s="9" t="s">
        <v>441</v>
      </c>
      <c r="E144" s="5" t="s">
        <v>82</v>
      </c>
      <c r="F144" s="6">
        <v>251</v>
      </c>
      <c r="G144" s="6">
        <v>1257</v>
      </c>
      <c r="H144" s="6">
        <v>672</v>
      </c>
      <c r="I144" s="6">
        <v>585</v>
      </c>
      <c r="J144" s="17">
        <f t="shared" si="6"/>
        <v>870.53571428571433</v>
      </c>
      <c r="K144" s="6">
        <v>617</v>
      </c>
      <c r="L144" s="6">
        <v>328</v>
      </c>
      <c r="M144" s="6">
        <v>289</v>
      </c>
      <c r="N144" s="7">
        <f t="shared" si="7"/>
        <v>49.085123309466979</v>
      </c>
      <c r="O144" s="6">
        <v>872</v>
      </c>
      <c r="P144" s="6">
        <v>490</v>
      </c>
      <c r="Q144" s="6">
        <v>382</v>
      </c>
      <c r="R144" s="7">
        <v>77.787689562890279</v>
      </c>
      <c r="S144" s="7">
        <v>82.491582491582491</v>
      </c>
      <c r="T144" s="7">
        <v>72.485768500948765</v>
      </c>
      <c r="U144" s="15">
        <f t="shared" si="8"/>
        <v>2</v>
      </c>
    </row>
    <row r="145" spans="1:21" ht="18.75" customHeight="1">
      <c r="A145" s="16">
        <v>147</v>
      </c>
      <c r="B145" s="3">
        <v>84</v>
      </c>
      <c r="C145" s="4" t="s">
        <v>165</v>
      </c>
      <c r="D145" s="9" t="s">
        <v>441</v>
      </c>
      <c r="E145" s="5" t="s">
        <v>82</v>
      </c>
      <c r="F145" s="6">
        <v>293</v>
      </c>
      <c r="G145" s="6">
        <v>1484</v>
      </c>
      <c r="H145" s="6">
        <v>802</v>
      </c>
      <c r="I145" s="6">
        <v>682</v>
      </c>
      <c r="J145" s="17">
        <f t="shared" si="6"/>
        <v>850.37406483790528</v>
      </c>
      <c r="K145" s="6">
        <v>365</v>
      </c>
      <c r="L145" s="6">
        <v>195</v>
      </c>
      <c r="M145" s="6">
        <v>170</v>
      </c>
      <c r="N145" s="7">
        <f t="shared" si="7"/>
        <v>24.595687331536389</v>
      </c>
      <c r="O145" s="6">
        <v>952</v>
      </c>
      <c r="P145" s="6">
        <v>567</v>
      </c>
      <c r="Q145" s="6">
        <v>385</v>
      </c>
      <c r="R145" s="7">
        <v>73.343605546995377</v>
      </c>
      <c r="S145" s="7">
        <v>83.137829912023463</v>
      </c>
      <c r="T145" s="7">
        <v>62.5</v>
      </c>
      <c r="U145" s="15">
        <f t="shared" si="8"/>
        <v>2</v>
      </c>
    </row>
    <row r="146" spans="1:21" ht="18.75" customHeight="1">
      <c r="A146" s="16">
        <v>148</v>
      </c>
      <c r="B146" s="3">
        <v>1</v>
      </c>
      <c r="C146" s="4" t="s">
        <v>166</v>
      </c>
      <c r="D146" s="9" t="s">
        <v>441</v>
      </c>
      <c r="E146" s="5" t="s">
        <v>167</v>
      </c>
      <c r="F146" s="6">
        <v>363</v>
      </c>
      <c r="G146" s="6">
        <v>1892</v>
      </c>
      <c r="H146" s="6">
        <v>998</v>
      </c>
      <c r="I146" s="6">
        <v>894</v>
      </c>
      <c r="J146" s="17">
        <f t="shared" si="6"/>
        <v>895.79158316633266</v>
      </c>
      <c r="K146" s="6">
        <v>285</v>
      </c>
      <c r="L146" s="6">
        <v>155</v>
      </c>
      <c r="M146" s="6">
        <v>130</v>
      </c>
      <c r="N146" s="7">
        <f t="shared" si="7"/>
        <v>15.063424947145879</v>
      </c>
      <c r="O146" s="6">
        <v>869</v>
      </c>
      <c r="P146" s="6">
        <v>534</v>
      </c>
      <c r="Q146" s="6">
        <v>335</v>
      </c>
      <c r="R146" s="7">
        <v>54.380475594493113</v>
      </c>
      <c r="S146" s="7">
        <v>63.799283154121866</v>
      </c>
      <c r="T146" s="7">
        <v>44.021024967148485</v>
      </c>
      <c r="U146" s="15">
        <f t="shared" si="8"/>
        <v>2</v>
      </c>
    </row>
    <row r="147" spans="1:21" ht="18.75" customHeight="1">
      <c r="A147" s="16">
        <v>149</v>
      </c>
      <c r="B147" s="3">
        <v>2</v>
      </c>
      <c r="C147" s="4" t="s">
        <v>168</v>
      </c>
      <c r="D147" s="9" t="s">
        <v>441</v>
      </c>
      <c r="E147" s="5" t="s">
        <v>167</v>
      </c>
      <c r="F147" s="6">
        <v>166</v>
      </c>
      <c r="G147" s="6">
        <v>1014</v>
      </c>
      <c r="H147" s="6">
        <v>536</v>
      </c>
      <c r="I147" s="6">
        <v>478</v>
      </c>
      <c r="J147" s="17">
        <f t="shared" si="6"/>
        <v>891.79104477611941</v>
      </c>
      <c r="K147" s="6">
        <v>193</v>
      </c>
      <c r="L147" s="6">
        <v>104</v>
      </c>
      <c r="M147" s="6">
        <v>89</v>
      </c>
      <c r="N147" s="7">
        <f t="shared" si="7"/>
        <v>19.03353057199211</v>
      </c>
      <c r="O147" s="6">
        <v>671</v>
      </c>
      <c r="P147" s="6">
        <v>382</v>
      </c>
      <c r="Q147" s="6">
        <v>289</v>
      </c>
      <c r="R147" s="7">
        <v>74.638487208008897</v>
      </c>
      <c r="S147" s="7">
        <v>82.150537634408607</v>
      </c>
      <c r="T147" s="7">
        <v>66.589861751152071</v>
      </c>
      <c r="U147" s="15">
        <f t="shared" si="8"/>
        <v>2</v>
      </c>
    </row>
    <row r="148" spans="1:21" ht="18.75" customHeight="1">
      <c r="A148" s="16">
        <v>150</v>
      </c>
      <c r="B148" s="3">
        <v>3</v>
      </c>
      <c r="C148" s="9" t="s">
        <v>169</v>
      </c>
      <c r="D148" s="9" t="s">
        <v>441</v>
      </c>
      <c r="E148" s="5" t="s">
        <v>167</v>
      </c>
      <c r="F148" s="6">
        <v>425</v>
      </c>
      <c r="G148" s="6">
        <v>2128</v>
      </c>
      <c r="H148" s="6">
        <v>1126</v>
      </c>
      <c r="I148" s="6">
        <v>1002</v>
      </c>
      <c r="J148" s="17">
        <f t="shared" si="6"/>
        <v>889.8756660746003</v>
      </c>
      <c r="K148" s="6">
        <v>483</v>
      </c>
      <c r="L148" s="6">
        <v>252</v>
      </c>
      <c r="M148" s="6">
        <v>231</v>
      </c>
      <c r="N148" s="7">
        <f t="shared" si="7"/>
        <v>22.697368421052634</v>
      </c>
      <c r="O148" s="6">
        <v>1360</v>
      </c>
      <c r="P148" s="6">
        <v>783</v>
      </c>
      <c r="Q148" s="6">
        <v>577</v>
      </c>
      <c r="R148" s="7">
        <v>73.118279569892479</v>
      </c>
      <c r="S148" s="7">
        <v>80.472764645426523</v>
      </c>
      <c r="T148" s="7">
        <v>65.050732807215326</v>
      </c>
      <c r="U148" s="15">
        <f t="shared" si="8"/>
        <v>2</v>
      </c>
    </row>
    <row r="149" spans="1:21" ht="18.75" customHeight="1">
      <c r="A149" s="16">
        <v>151</v>
      </c>
      <c r="B149" s="3">
        <v>4</v>
      </c>
      <c r="C149" s="4" t="s">
        <v>170</v>
      </c>
      <c r="D149" s="9" t="s">
        <v>441</v>
      </c>
      <c r="E149" s="5" t="s">
        <v>167</v>
      </c>
      <c r="F149" s="6">
        <v>679</v>
      </c>
      <c r="G149" s="6">
        <v>3723</v>
      </c>
      <c r="H149" s="6">
        <v>1962</v>
      </c>
      <c r="I149" s="6">
        <v>1761</v>
      </c>
      <c r="J149" s="17">
        <f t="shared" si="6"/>
        <v>897.55351681957188</v>
      </c>
      <c r="K149" s="6">
        <v>714</v>
      </c>
      <c r="L149" s="6">
        <v>382</v>
      </c>
      <c r="M149" s="6">
        <v>332</v>
      </c>
      <c r="N149" s="7">
        <f t="shared" si="7"/>
        <v>19.17808219178082</v>
      </c>
      <c r="O149" s="6">
        <v>2641</v>
      </c>
      <c r="P149" s="6">
        <v>1516</v>
      </c>
      <c r="Q149" s="6">
        <v>1125</v>
      </c>
      <c r="R149" s="7">
        <v>80.616605616605625</v>
      </c>
      <c r="S149" s="7">
        <v>88.448074679113191</v>
      </c>
      <c r="T149" s="7">
        <v>72.023047375160047</v>
      </c>
      <c r="U149" s="15">
        <f t="shared" si="8"/>
        <v>2</v>
      </c>
    </row>
    <row r="150" spans="1:21" ht="18.75" customHeight="1">
      <c r="A150" s="16">
        <v>152</v>
      </c>
      <c r="B150" s="3">
        <v>5</v>
      </c>
      <c r="C150" s="4" t="s">
        <v>171</v>
      </c>
      <c r="D150" s="9" t="s">
        <v>441</v>
      </c>
      <c r="E150" s="5" t="s">
        <v>167</v>
      </c>
      <c r="F150" s="6">
        <v>340</v>
      </c>
      <c r="G150" s="6">
        <v>1739</v>
      </c>
      <c r="H150" s="6">
        <v>916</v>
      </c>
      <c r="I150" s="6">
        <v>823</v>
      </c>
      <c r="J150" s="17">
        <f t="shared" si="6"/>
        <v>898.47161572052403</v>
      </c>
      <c r="K150" s="6">
        <v>87</v>
      </c>
      <c r="L150" s="6">
        <v>50</v>
      </c>
      <c r="M150" s="6">
        <v>37</v>
      </c>
      <c r="N150" s="7">
        <f t="shared" si="7"/>
        <v>5.0028752156411738</v>
      </c>
      <c r="O150" s="6">
        <v>856</v>
      </c>
      <c r="P150" s="6">
        <v>499</v>
      </c>
      <c r="Q150" s="6">
        <v>357</v>
      </c>
      <c r="R150" s="7">
        <v>58.03389830508474</v>
      </c>
      <c r="S150" s="7">
        <v>64.30412371134021</v>
      </c>
      <c r="T150" s="7">
        <v>51.072961373390555</v>
      </c>
      <c r="U150" s="15">
        <f t="shared" si="8"/>
        <v>2</v>
      </c>
    </row>
    <row r="151" spans="1:21" ht="18.75" customHeight="1">
      <c r="A151" s="16">
        <v>153</v>
      </c>
      <c r="B151" s="3">
        <v>6</v>
      </c>
      <c r="C151" s="4" t="s">
        <v>172</v>
      </c>
      <c r="D151" s="9" t="s">
        <v>441</v>
      </c>
      <c r="E151" s="5" t="s">
        <v>167</v>
      </c>
      <c r="F151" s="6">
        <v>434</v>
      </c>
      <c r="G151" s="6">
        <v>2206</v>
      </c>
      <c r="H151" s="6">
        <v>1174</v>
      </c>
      <c r="I151" s="6">
        <v>1032</v>
      </c>
      <c r="J151" s="17">
        <f t="shared" si="6"/>
        <v>879.04599659284497</v>
      </c>
      <c r="K151" s="6">
        <v>705</v>
      </c>
      <c r="L151" s="6">
        <v>366</v>
      </c>
      <c r="M151" s="6">
        <v>339</v>
      </c>
      <c r="N151" s="7">
        <f t="shared" si="7"/>
        <v>31.958295557570267</v>
      </c>
      <c r="O151" s="6">
        <v>1397</v>
      </c>
      <c r="P151" s="6">
        <v>822</v>
      </c>
      <c r="Q151" s="6">
        <v>575</v>
      </c>
      <c r="R151" s="7">
        <v>73.103087388801683</v>
      </c>
      <c r="S151" s="7">
        <v>81.22529644268775</v>
      </c>
      <c r="T151" s="7">
        <v>63.959955506117907</v>
      </c>
      <c r="U151" s="15">
        <f t="shared" si="8"/>
        <v>2</v>
      </c>
    </row>
    <row r="152" spans="1:21" ht="18.75" customHeight="1">
      <c r="A152" s="16">
        <v>154</v>
      </c>
      <c r="B152" s="3">
        <v>7</v>
      </c>
      <c r="C152" s="4" t="s">
        <v>173</v>
      </c>
      <c r="D152" s="9" t="s">
        <v>441</v>
      </c>
      <c r="E152" s="5" t="s">
        <v>167</v>
      </c>
      <c r="F152" s="6">
        <v>325</v>
      </c>
      <c r="G152" s="6">
        <v>1688</v>
      </c>
      <c r="H152" s="6">
        <v>895</v>
      </c>
      <c r="I152" s="6">
        <v>793</v>
      </c>
      <c r="J152" s="17">
        <f t="shared" si="6"/>
        <v>886.03351955307267</v>
      </c>
      <c r="K152" s="6">
        <v>425</v>
      </c>
      <c r="L152" s="6">
        <v>229</v>
      </c>
      <c r="M152" s="6">
        <v>196</v>
      </c>
      <c r="N152" s="7">
        <f t="shared" si="7"/>
        <v>25.177725118483412</v>
      </c>
      <c r="O152" s="6">
        <v>1199</v>
      </c>
      <c r="P152" s="6">
        <v>705</v>
      </c>
      <c r="Q152" s="6">
        <v>494</v>
      </c>
      <c r="R152" s="7">
        <v>79.194187582562748</v>
      </c>
      <c r="S152" s="7">
        <v>88.345864661654133</v>
      </c>
      <c r="T152" s="7">
        <v>68.994413407821227</v>
      </c>
      <c r="U152" s="15">
        <f t="shared" si="8"/>
        <v>2</v>
      </c>
    </row>
    <row r="153" spans="1:21" ht="18.75" customHeight="1">
      <c r="A153" s="16">
        <v>155</v>
      </c>
      <c r="B153" s="3">
        <v>8</v>
      </c>
      <c r="C153" s="4" t="s">
        <v>174</v>
      </c>
      <c r="D153" s="9" t="s">
        <v>441</v>
      </c>
      <c r="E153" s="5" t="s">
        <v>167</v>
      </c>
      <c r="F153" s="6">
        <v>220</v>
      </c>
      <c r="G153" s="6">
        <v>1057</v>
      </c>
      <c r="H153" s="6">
        <v>551</v>
      </c>
      <c r="I153" s="6">
        <v>506</v>
      </c>
      <c r="J153" s="17">
        <f t="shared" si="6"/>
        <v>918.33030852994557</v>
      </c>
      <c r="K153" s="6">
        <v>459</v>
      </c>
      <c r="L153" s="6">
        <v>245</v>
      </c>
      <c r="M153" s="6">
        <v>214</v>
      </c>
      <c r="N153" s="7">
        <f t="shared" si="7"/>
        <v>43.4247871333964</v>
      </c>
      <c r="O153" s="6">
        <v>677</v>
      </c>
      <c r="P153" s="6">
        <v>396</v>
      </c>
      <c r="Q153" s="6">
        <v>281</v>
      </c>
      <c r="R153" s="7">
        <v>75.98204264870931</v>
      </c>
      <c r="S153" s="7">
        <v>84.978540772532185</v>
      </c>
      <c r="T153" s="7">
        <v>66.117647058823522</v>
      </c>
      <c r="U153" s="15">
        <f t="shared" si="8"/>
        <v>1</v>
      </c>
    </row>
    <row r="154" spans="1:21" ht="18.75" customHeight="1">
      <c r="A154" s="16">
        <v>156</v>
      </c>
      <c r="B154" s="3">
        <v>9</v>
      </c>
      <c r="C154" s="4" t="s">
        <v>175</v>
      </c>
      <c r="D154" s="9" t="s">
        <v>441</v>
      </c>
      <c r="E154" s="5" t="s">
        <v>167</v>
      </c>
      <c r="F154" s="6">
        <v>295</v>
      </c>
      <c r="G154" s="6">
        <v>1543</v>
      </c>
      <c r="H154" s="6">
        <v>806</v>
      </c>
      <c r="I154" s="6">
        <v>737</v>
      </c>
      <c r="J154" s="17">
        <f t="shared" si="6"/>
        <v>914.3920595533499</v>
      </c>
      <c r="K154" s="6">
        <v>411</v>
      </c>
      <c r="L154" s="6">
        <v>227</v>
      </c>
      <c r="M154" s="6">
        <v>184</v>
      </c>
      <c r="N154" s="7">
        <f t="shared" si="7"/>
        <v>26.63642255346727</v>
      </c>
      <c r="O154" s="6">
        <v>1055</v>
      </c>
      <c r="P154" s="6">
        <v>609</v>
      </c>
      <c r="Q154" s="6">
        <v>446</v>
      </c>
      <c r="R154" s="7">
        <v>77.630610743193529</v>
      </c>
      <c r="S154" s="7">
        <v>85.413744740532962</v>
      </c>
      <c r="T154" s="7">
        <v>69.040247678018574</v>
      </c>
      <c r="U154" s="15">
        <f t="shared" si="8"/>
        <v>1</v>
      </c>
    </row>
    <row r="155" spans="1:21" ht="18.75" customHeight="1">
      <c r="A155" s="16">
        <v>157</v>
      </c>
      <c r="B155" s="3">
        <v>10</v>
      </c>
      <c r="C155" s="4" t="s">
        <v>176</v>
      </c>
      <c r="D155" s="9" t="s">
        <v>441</v>
      </c>
      <c r="E155" s="5" t="s">
        <v>167</v>
      </c>
      <c r="F155" s="6">
        <v>165</v>
      </c>
      <c r="G155" s="6">
        <v>962</v>
      </c>
      <c r="H155" s="6">
        <v>514</v>
      </c>
      <c r="I155" s="6">
        <v>448</v>
      </c>
      <c r="J155" s="17">
        <f t="shared" si="6"/>
        <v>871.59533073929958</v>
      </c>
      <c r="K155" s="6">
        <v>47</v>
      </c>
      <c r="L155" s="6">
        <v>26</v>
      </c>
      <c r="M155" s="6">
        <v>21</v>
      </c>
      <c r="N155" s="7">
        <f t="shared" si="7"/>
        <v>4.885654885654886</v>
      </c>
      <c r="O155" s="6">
        <v>669</v>
      </c>
      <c r="P155" s="6">
        <v>382</v>
      </c>
      <c r="Q155" s="6">
        <v>287</v>
      </c>
      <c r="R155" s="7">
        <v>81.58536585365853</v>
      </c>
      <c r="S155" s="7">
        <v>88.837209302325576</v>
      </c>
      <c r="T155" s="7">
        <v>73.589743589743591</v>
      </c>
      <c r="U155" s="15">
        <f t="shared" si="8"/>
        <v>2</v>
      </c>
    </row>
    <row r="156" spans="1:21" ht="18.75" customHeight="1">
      <c r="A156" s="16">
        <v>158</v>
      </c>
      <c r="B156" s="3">
        <v>11</v>
      </c>
      <c r="C156" s="4" t="s">
        <v>177</v>
      </c>
      <c r="D156" s="9" t="s">
        <v>441</v>
      </c>
      <c r="E156" s="5" t="s">
        <v>167</v>
      </c>
      <c r="F156" s="6">
        <v>320</v>
      </c>
      <c r="G156" s="6">
        <v>1697</v>
      </c>
      <c r="H156" s="6">
        <v>873</v>
      </c>
      <c r="I156" s="6">
        <v>824</v>
      </c>
      <c r="J156" s="17">
        <f t="shared" si="6"/>
        <v>943.87170675830464</v>
      </c>
      <c r="K156" s="6">
        <v>379</v>
      </c>
      <c r="L156" s="6">
        <v>202</v>
      </c>
      <c r="M156" s="6">
        <v>177</v>
      </c>
      <c r="N156" s="7">
        <f t="shared" si="7"/>
        <v>22.333529758397173</v>
      </c>
      <c r="O156" s="6">
        <v>1171</v>
      </c>
      <c r="P156" s="6">
        <v>662</v>
      </c>
      <c r="Q156" s="6">
        <v>509</v>
      </c>
      <c r="R156" s="7">
        <v>78.066666666666663</v>
      </c>
      <c r="S156" s="7">
        <v>85.862516212710759</v>
      </c>
      <c r="T156" s="7">
        <v>69.821673525377221</v>
      </c>
      <c r="U156" s="15">
        <f t="shared" si="8"/>
        <v>1</v>
      </c>
    </row>
    <row r="157" spans="1:21" ht="18.75" customHeight="1">
      <c r="A157" s="16">
        <v>159</v>
      </c>
      <c r="B157" s="3">
        <v>12</v>
      </c>
      <c r="C157" s="4" t="s">
        <v>178</v>
      </c>
      <c r="D157" s="9" t="s">
        <v>441</v>
      </c>
      <c r="E157" s="5" t="s">
        <v>167</v>
      </c>
      <c r="F157" s="6">
        <v>262</v>
      </c>
      <c r="G157" s="6">
        <v>1449</v>
      </c>
      <c r="H157" s="6">
        <v>759</v>
      </c>
      <c r="I157" s="6">
        <v>690</v>
      </c>
      <c r="J157" s="17">
        <f t="shared" si="6"/>
        <v>909.09090909090901</v>
      </c>
      <c r="K157" s="6">
        <v>735</v>
      </c>
      <c r="L157" s="6">
        <v>390</v>
      </c>
      <c r="M157" s="6">
        <v>345</v>
      </c>
      <c r="N157" s="7">
        <f t="shared" si="7"/>
        <v>50.724637681159422</v>
      </c>
      <c r="O157" s="6">
        <v>894</v>
      </c>
      <c r="P157" s="6">
        <v>518</v>
      </c>
      <c r="Q157" s="6">
        <v>376</v>
      </c>
      <c r="R157" s="7">
        <v>72.979591836734699</v>
      </c>
      <c r="S157" s="7">
        <v>81.832543443917842</v>
      </c>
      <c r="T157" s="7">
        <v>63.513513513513509</v>
      </c>
      <c r="U157" s="15">
        <f t="shared" si="8"/>
        <v>1</v>
      </c>
    </row>
    <row r="158" spans="1:21" ht="18.75" customHeight="1">
      <c r="A158" s="16">
        <v>160</v>
      </c>
      <c r="B158" s="3">
        <v>13</v>
      </c>
      <c r="C158" s="4" t="s">
        <v>179</v>
      </c>
      <c r="D158" s="9" t="s">
        <v>441</v>
      </c>
      <c r="E158" s="5" t="s">
        <v>167</v>
      </c>
      <c r="F158" s="6">
        <v>179</v>
      </c>
      <c r="G158" s="6">
        <v>841</v>
      </c>
      <c r="H158" s="6">
        <v>505</v>
      </c>
      <c r="I158" s="6">
        <v>336</v>
      </c>
      <c r="J158" s="17">
        <f t="shared" si="6"/>
        <v>665.34653465346537</v>
      </c>
      <c r="K158" s="6">
        <v>191</v>
      </c>
      <c r="L158" s="6">
        <v>108</v>
      </c>
      <c r="M158" s="6">
        <v>83</v>
      </c>
      <c r="N158" s="7">
        <f t="shared" si="7"/>
        <v>22.711058263971463</v>
      </c>
      <c r="O158" s="6">
        <v>565</v>
      </c>
      <c r="P158" s="6">
        <v>372</v>
      </c>
      <c r="Q158" s="6">
        <v>193</v>
      </c>
      <c r="R158" s="7">
        <v>76.043068640646027</v>
      </c>
      <c r="S158" s="7">
        <v>81.578947368421055</v>
      </c>
      <c r="T158" s="7">
        <v>67.247386759581886</v>
      </c>
      <c r="U158" s="15">
        <f t="shared" si="8"/>
        <v>0</v>
      </c>
    </row>
    <row r="159" spans="1:21" ht="18.75" customHeight="1">
      <c r="A159" s="16">
        <v>161</v>
      </c>
      <c r="B159" s="3">
        <v>14</v>
      </c>
      <c r="C159" s="4" t="s">
        <v>180</v>
      </c>
      <c r="D159" s="9" t="s">
        <v>441</v>
      </c>
      <c r="E159" s="5" t="s">
        <v>167</v>
      </c>
      <c r="F159" s="6">
        <v>124</v>
      </c>
      <c r="G159" s="6">
        <v>596</v>
      </c>
      <c r="H159" s="6">
        <v>312</v>
      </c>
      <c r="I159" s="6">
        <v>284</v>
      </c>
      <c r="J159" s="17">
        <f t="shared" si="6"/>
        <v>910.25641025641028</v>
      </c>
      <c r="K159" s="6">
        <v>97</v>
      </c>
      <c r="L159" s="6">
        <v>55</v>
      </c>
      <c r="M159" s="6">
        <v>42</v>
      </c>
      <c r="N159" s="7">
        <f t="shared" si="7"/>
        <v>16.275167785234899</v>
      </c>
      <c r="O159" s="6">
        <v>381</v>
      </c>
      <c r="P159" s="6">
        <v>233</v>
      </c>
      <c r="Q159" s="6">
        <v>148</v>
      </c>
      <c r="R159" s="7">
        <v>72.70992366412213</v>
      </c>
      <c r="S159" s="7">
        <v>84.727272727272734</v>
      </c>
      <c r="T159" s="7">
        <v>59.437751004016057</v>
      </c>
      <c r="U159" s="15">
        <f t="shared" si="8"/>
        <v>1</v>
      </c>
    </row>
    <row r="160" spans="1:21" ht="18.75" customHeight="1">
      <c r="A160" s="16">
        <v>162</v>
      </c>
      <c r="B160" s="3">
        <v>15</v>
      </c>
      <c r="C160" s="4" t="s">
        <v>181</v>
      </c>
      <c r="D160" s="9" t="s">
        <v>441</v>
      </c>
      <c r="E160" s="5" t="s">
        <v>167</v>
      </c>
      <c r="F160" s="6">
        <v>93</v>
      </c>
      <c r="G160" s="6">
        <v>434</v>
      </c>
      <c r="H160" s="6">
        <v>222</v>
      </c>
      <c r="I160" s="6">
        <v>212</v>
      </c>
      <c r="J160" s="17">
        <f t="shared" si="6"/>
        <v>954.95495495495493</v>
      </c>
      <c r="K160" s="6">
        <v>16</v>
      </c>
      <c r="L160" s="6">
        <v>9</v>
      </c>
      <c r="M160" s="6">
        <v>7</v>
      </c>
      <c r="N160" s="7">
        <f t="shared" si="7"/>
        <v>3.6866359447004609</v>
      </c>
      <c r="O160" s="6">
        <v>231</v>
      </c>
      <c r="P160" s="6">
        <v>140</v>
      </c>
      <c r="Q160" s="6">
        <v>91</v>
      </c>
      <c r="R160" s="7">
        <v>67.941176470588232</v>
      </c>
      <c r="S160" s="7">
        <v>80</v>
      </c>
      <c r="T160" s="7">
        <v>55.151515151515149</v>
      </c>
      <c r="U160" s="15">
        <f t="shared" si="8"/>
        <v>1</v>
      </c>
    </row>
    <row r="161" spans="1:21" ht="18.75" customHeight="1">
      <c r="A161" s="16">
        <v>163</v>
      </c>
      <c r="B161" s="3">
        <v>16</v>
      </c>
      <c r="C161" s="4" t="s">
        <v>182</v>
      </c>
      <c r="D161" s="9" t="s">
        <v>441</v>
      </c>
      <c r="E161" s="5" t="s">
        <v>167</v>
      </c>
      <c r="F161" s="6">
        <v>272</v>
      </c>
      <c r="G161" s="6">
        <v>1371</v>
      </c>
      <c r="H161" s="6">
        <v>722</v>
      </c>
      <c r="I161" s="6">
        <v>649</v>
      </c>
      <c r="J161" s="17">
        <f t="shared" si="6"/>
        <v>898.89196675900268</v>
      </c>
      <c r="K161" s="6">
        <v>446</v>
      </c>
      <c r="L161" s="6">
        <v>227</v>
      </c>
      <c r="M161" s="6">
        <v>219</v>
      </c>
      <c r="N161" s="7">
        <f t="shared" si="7"/>
        <v>32.530999270605399</v>
      </c>
      <c r="O161" s="6">
        <v>916</v>
      </c>
      <c r="P161" s="6">
        <v>506</v>
      </c>
      <c r="Q161" s="6">
        <v>410</v>
      </c>
      <c r="R161" s="7">
        <v>75.577557755775587</v>
      </c>
      <c r="S161" s="7">
        <v>79.810725552050471</v>
      </c>
      <c r="T161" s="7">
        <v>70.934256055363321</v>
      </c>
      <c r="U161" s="15">
        <f t="shared" si="8"/>
        <v>2</v>
      </c>
    </row>
    <row r="162" spans="1:21" ht="18.75" customHeight="1">
      <c r="A162" s="16">
        <v>164</v>
      </c>
      <c r="B162" s="3">
        <v>17</v>
      </c>
      <c r="C162" s="4" t="s">
        <v>183</v>
      </c>
      <c r="D162" s="9" t="s">
        <v>441</v>
      </c>
      <c r="E162" s="5" t="s">
        <v>167</v>
      </c>
      <c r="F162" s="6">
        <v>240</v>
      </c>
      <c r="G162" s="6">
        <v>1275</v>
      </c>
      <c r="H162" s="6">
        <v>674</v>
      </c>
      <c r="I162" s="6">
        <v>601</v>
      </c>
      <c r="J162" s="17">
        <f t="shared" si="6"/>
        <v>891.69139465875367</v>
      </c>
      <c r="K162" s="6">
        <v>336</v>
      </c>
      <c r="L162" s="6">
        <v>178</v>
      </c>
      <c r="M162" s="6">
        <v>158</v>
      </c>
      <c r="N162" s="7">
        <f t="shared" si="7"/>
        <v>26.352941176470591</v>
      </c>
      <c r="O162" s="6">
        <v>840</v>
      </c>
      <c r="P162" s="6">
        <v>484</v>
      </c>
      <c r="Q162" s="6">
        <v>356</v>
      </c>
      <c r="R162" s="7">
        <v>74.666666666666671</v>
      </c>
      <c r="S162" s="7">
        <v>82.312925170068027</v>
      </c>
      <c r="T162" s="7">
        <v>66.294227188081933</v>
      </c>
      <c r="U162" s="15">
        <f t="shared" si="8"/>
        <v>2</v>
      </c>
    </row>
    <row r="163" spans="1:21" ht="18.75" customHeight="1">
      <c r="A163" s="16">
        <v>165</v>
      </c>
      <c r="B163" s="3">
        <v>18</v>
      </c>
      <c r="C163" s="4" t="s">
        <v>184</v>
      </c>
      <c r="D163" s="9" t="s">
        <v>441</v>
      </c>
      <c r="E163" s="5" t="s">
        <v>167</v>
      </c>
      <c r="F163" s="6">
        <v>251</v>
      </c>
      <c r="G163" s="6">
        <v>1514</v>
      </c>
      <c r="H163" s="6">
        <v>787</v>
      </c>
      <c r="I163" s="6">
        <v>727</v>
      </c>
      <c r="J163" s="17">
        <f t="shared" si="6"/>
        <v>923.76111817026685</v>
      </c>
      <c r="K163" s="6">
        <v>44</v>
      </c>
      <c r="L163" s="6">
        <v>22</v>
      </c>
      <c r="M163" s="6">
        <v>22</v>
      </c>
      <c r="N163" s="7">
        <f t="shared" si="7"/>
        <v>2.9062087186261558</v>
      </c>
      <c r="O163" s="6">
        <v>1087</v>
      </c>
      <c r="P163" s="6">
        <v>607</v>
      </c>
      <c r="Q163" s="6">
        <v>480</v>
      </c>
      <c r="R163" s="7">
        <v>79.809104258443469</v>
      </c>
      <c r="S163" s="7">
        <v>86.467236467236461</v>
      </c>
      <c r="T163" s="7">
        <v>72.727272727272734</v>
      </c>
      <c r="U163" s="15">
        <f t="shared" si="8"/>
        <v>1</v>
      </c>
    </row>
    <row r="164" spans="1:21" ht="18.75" customHeight="1">
      <c r="A164" s="16">
        <v>166</v>
      </c>
      <c r="B164" s="3">
        <v>19</v>
      </c>
      <c r="C164" s="4" t="s">
        <v>185</v>
      </c>
      <c r="D164" s="9" t="s">
        <v>441</v>
      </c>
      <c r="E164" s="5" t="s">
        <v>167</v>
      </c>
      <c r="F164" s="6">
        <v>93</v>
      </c>
      <c r="G164" s="6">
        <v>488</v>
      </c>
      <c r="H164" s="6">
        <v>258</v>
      </c>
      <c r="I164" s="6">
        <v>230</v>
      </c>
      <c r="J164" s="17">
        <f t="shared" si="6"/>
        <v>891.47286821705427</v>
      </c>
      <c r="K164" s="6">
        <v>155</v>
      </c>
      <c r="L164" s="6">
        <v>88</v>
      </c>
      <c r="M164" s="6">
        <v>67</v>
      </c>
      <c r="N164" s="7">
        <f t="shared" si="7"/>
        <v>31.762295081967213</v>
      </c>
      <c r="O164" s="6">
        <v>330</v>
      </c>
      <c r="P164" s="6">
        <v>195</v>
      </c>
      <c r="Q164" s="6">
        <v>135</v>
      </c>
      <c r="R164" s="7">
        <v>76.923076923076934</v>
      </c>
      <c r="S164" s="7">
        <v>87.443946188340803</v>
      </c>
      <c r="T164" s="7">
        <v>65.533980582524279</v>
      </c>
      <c r="U164" s="15">
        <f t="shared" si="8"/>
        <v>2</v>
      </c>
    </row>
    <row r="165" spans="1:21" ht="18.75" customHeight="1">
      <c r="A165" s="16">
        <v>167</v>
      </c>
      <c r="B165" s="3">
        <v>20</v>
      </c>
      <c r="C165" s="4" t="s">
        <v>186</v>
      </c>
      <c r="D165" s="9" t="s">
        <v>441</v>
      </c>
      <c r="E165" s="5" t="s">
        <v>167</v>
      </c>
      <c r="F165" s="6">
        <v>304</v>
      </c>
      <c r="G165" s="6">
        <v>1698</v>
      </c>
      <c r="H165" s="6">
        <v>928</v>
      </c>
      <c r="I165" s="6">
        <v>770</v>
      </c>
      <c r="J165" s="17">
        <f t="shared" si="6"/>
        <v>829.74137931034488</v>
      </c>
      <c r="K165" s="6">
        <v>332</v>
      </c>
      <c r="L165" s="6">
        <v>189</v>
      </c>
      <c r="M165" s="6">
        <v>143</v>
      </c>
      <c r="N165" s="7">
        <f t="shared" si="7"/>
        <v>19.552414605418139</v>
      </c>
      <c r="O165" s="6">
        <v>1105</v>
      </c>
      <c r="P165" s="6">
        <v>660</v>
      </c>
      <c r="Q165" s="6">
        <v>445</v>
      </c>
      <c r="R165" s="7">
        <v>73.962516733601063</v>
      </c>
      <c r="S165" s="7">
        <v>81.2807881773399</v>
      </c>
      <c r="T165" s="7">
        <v>65.249266862170089</v>
      </c>
      <c r="U165" s="15">
        <f t="shared" si="8"/>
        <v>2</v>
      </c>
    </row>
    <row r="166" spans="1:21" ht="18.75" customHeight="1">
      <c r="A166" s="16">
        <v>168</v>
      </c>
      <c r="B166" s="3">
        <v>21</v>
      </c>
      <c r="C166" s="4" t="s">
        <v>187</v>
      </c>
      <c r="D166" s="9" t="s">
        <v>441</v>
      </c>
      <c r="E166" s="5" t="s">
        <v>167</v>
      </c>
      <c r="F166" s="6">
        <v>448</v>
      </c>
      <c r="G166" s="6">
        <v>2283</v>
      </c>
      <c r="H166" s="6">
        <v>1230</v>
      </c>
      <c r="I166" s="6">
        <v>1053</v>
      </c>
      <c r="J166" s="17">
        <f t="shared" si="6"/>
        <v>856.09756097560978</v>
      </c>
      <c r="K166" s="6">
        <v>355</v>
      </c>
      <c r="L166" s="6">
        <v>190</v>
      </c>
      <c r="M166" s="6">
        <v>165</v>
      </c>
      <c r="N166" s="7">
        <f t="shared" si="7"/>
        <v>15.549715286903199</v>
      </c>
      <c r="O166" s="6">
        <v>1496</v>
      </c>
      <c r="P166" s="6">
        <v>880</v>
      </c>
      <c r="Q166" s="6">
        <v>616</v>
      </c>
      <c r="R166" s="7">
        <v>76.209882832399387</v>
      </c>
      <c r="S166" s="7">
        <v>85.024154589371975</v>
      </c>
      <c r="T166" s="7">
        <v>66.379310344827587</v>
      </c>
      <c r="U166" s="15">
        <f t="shared" si="8"/>
        <v>2</v>
      </c>
    </row>
    <row r="167" spans="1:21" ht="18.75" customHeight="1">
      <c r="A167" s="16">
        <v>169</v>
      </c>
      <c r="B167" s="3">
        <v>22</v>
      </c>
      <c r="C167" s="4" t="s">
        <v>188</v>
      </c>
      <c r="D167" s="9" t="s">
        <v>441</v>
      </c>
      <c r="E167" s="5" t="s">
        <v>167</v>
      </c>
      <c r="F167" s="6">
        <v>184</v>
      </c>
      <c r="G167" s="6">
        <v>961</v>
      </c>
      <c r="H167" s="6">
        <v>488</v>
      </c>
      <c r="I167" s="6">
        <v>473</v>
      </c>
      <c r="J167" s="17">
        <f t="shared" si="6"/>
        <v>969.2622950819673</v>
      </c>
      <c r="K167" s="6">
        <v>165</v>
      </c>
      <c r="L167" s="6">
        <v>86</v>
      </c>
      <c r="M167" s="6">
        <v>79</v>
      </c>
      <c r="N167" s="7">
        <f t="shared" si="7"/>
        <v>17.169614984391259</v>
      </c>
      <c r="O167" s="6">
        <v>650</v>
      </c>
      <c r="P167" s="6">
        <v>379</v>
      </c>
      <c r="Q167" s="6">
        <v>271</v>
      </c>
      <c r="R167" s="7">
        <v>77.38095238095238</v>
      </c>
      <c r="S167" s="7">
        <v>88.139534883720927</v>
      </c>
      <c r="T167" s="7">
        <v>66.097560975609753</v>
      </c>
      <c r="U167" s="15">
        <f t="shared" si="8"/>
        <v>1</v>
      </c>
    </row>
    <row r="168" spans="1:21" ht="18.75" customHeight="1">
      <c r="A168" s="16">
        <v>170</v>
      </c>
      <c r="B168" s="3">
        <v>23</v>
      </c>
      <c r="C168" s="4" t="s">
        <v>189</v>
      </c>
      <c r="D168" s="9" t="s">
        <v>441</v>
      </c>
      <c r="E168" s="5" t="s">
        <v>167</v>
      </c>
      <c r="F168" s="6">
        <v>290</v>
      </c>
      <c r="G168" s="6">
        <v>1583</v>
      </c>
      <c r="H168" s="6">
        <v>846</v>
      </c>
      <c r="I168" s="6">
        <v>737</v>
      </c>
      <c r="J168" s="17">
        <f t="shared" si="6"/>
        <v>871.15839243498817</v>
      </c>
      <c r="K168" s="6">
        <v>341</v>
      </c>
      <c r="L168" s="6">
        <v>184</v>
      </c>
      <c r="M168" s="6">
        <v>157</v>
      </c>
      <c r="N168" s="7">
        <f t="shared" si="7"/>
        <v>21.541377132027794</v>
      </c>
      <c r="O168" s="6">
        <v>1127</v>
      </c>
      <c r="P168" s="6">
        <v>631</v>
      </c>
      <c r="Q168" s="6">
        <v>496</v>
      </c>
      <c r="R168" s="7">
        <v>79.534227240649258</v>
      </c>
      <c r="S168" s="7">
        <v>85.155195681511472</v>
      </c>
      <c r="T168" s="7">
        <v>73.372781065088759</v>
      </c>
      <c r="U168" s="15">
        <f t="shared" si="8"/>
        <v>2</v>
      </c>
    </row>
    <row r="169" spans="1:21" ht="18.75" customHeight="1">
      <c r="A169" s="16">
        <v>172</v>
      </c>
      <c r="B169" s="3">
        <v>25</v>
      </c>
      <c r="C169" s="4" t="s">
        <v>191</v>
      </c>
      <c r="D169" s="9" t="s">
        <v>441</v>
      </c>
      <c r="E169" s="5" t="s">
        <v>167</v>
      </c>
      <c r="F169" s="6">
        <v>408</v>
      </c>
      <c r="G169" s="6">
        <v>2131</v>
      </c>
      <c r="H169" s="6">
        <v>1102</v>
      </c>
      <c r="I169" s="6">
        <v>1029</v>
      </c>
      <c r="J169" s="17">
        <f t="shared" si="6"/>
        <v>933.75680580762253</v>
      </c>
      <c r="K169" s="6">
        <v>483</v>
      </c>
      <c r="L169" s="6">
        <v>246</v>
      </c>
      <c r="M169" s="6">
        <v>237</v>
      </c>
      <c r="N169" s="7">
        <f t="shared" si="7"/>
        <v>22.665415297982168</v>
      </c>
      <c r="O169" s="6">
        <v>1385</v>
      </c>
      <c r="P169" s="6">
        <v>794</v>
      </c>
      <c r="Q169" s="6">
        <v>591</v>
      </c>
      <c r="R169" s="7">
        <v>74.743658931462491</v>
      </c>
      <c r="S169" s="7">
        <v>83.228511530398322</v>
      </c>
      <c r="T169" s="7">
        <v>65.739710789766406</v>
      </c>
      <c r="U169" s="15">
        <f t="shared" si="8"/>
        <v>1</v>
      </c>
    </row>
    <row r="170" spans="1:21" ht="18.75" customHeight="1">
      <c r="A170" s="16">
        <v>173</v>
      </c>
      <c r="B170" s="3">
        <v>26</v>
      </c>
      <c r="C170" s="4" t="s">
        <v>192</v>
      </c>
      <c r="D170" s="9" t="s">
        <v>441</v>
      </c>
      <c r="E170" s="5" t="s">
        <v>167</v>
      </c>
      <c r="F170" s="6">
        <v>229</v>
      </c>
      <c r="G170" s="6">
        <v>1272</v>
      </c>
      <c r="H170" s="6">
        <v>660</v>
      </c>
      <c r="I170" s="6">
        <v>612</v>
      </c>
      <c r="J170" s="17">
        <f t="shared" si="6"/>
        <v>927.27272727272725</v>
      </c>
      <c r="K170" s="6">
        <v>393</v>
      </c>
      <c r="L170" s="6">
        <v>199</v>
      </c>
      <c r="M170" s="6">
        <v>194</v>
      </c>
      <c r="N170" s="7">
        <f t="shared" si="7"/>
        <v>30.89622641509434</v>
      </c>
      <c r="O170" s="6">
        <v>895</v>
      </c>
      <c r="P170" s="6">
        <v>511</v>
      </c>
      <c r="Q170" s="6">
        <v>384</v>
      </c>
      <c r="R170" s="7">
        <v>79.063604240282686</v>
      </c>
      <c r="S170" s="7">
        <v>88.56152512998267</v>
      </c>
      <c r="T170" s="7">
        <v>69.189189189189193</v>
      </c>
      <c r="U170" s="15">
        <f t="shared" si="8"/>
        <v>1</v>
      </c>
    </row>
    <row r="171" spans="1:21" ht="18.75" customHeight="1">
      <c r="A171" s="16">
        <v>174</v>
      </c>
      <c r="B171" s="3">
        <v>27</v>
      </c>
      <c r="C171" s="4" t="s">
        <v>193</v>
      </c>
      <c r="D171" s="9" t="s">
        <v>441</v>
      </c>
      <c r="E171" s="5" t="s">
        <v>167</v>
      </c>
      <c r="F171" s="6">
        <v>160</v>
      </c>
      <c r="G171" s="6">
        <v>844</v>
      </c>
      <c r="H171" s="6">
        <v>452</v>
      </c>
      <c r="I171" s="6">
        <v>392</v>
      </c>
      <c r="J171" s="17">
        <f t="shared" si="6"/>
        <v>867.25663716814165</v>
      </c>
      <c r="K171" s="6">
        <v>202</v>
      </c>
      <c r="L171" s="6">
        <v>111</v>
      </c>
      <c r="M171" s="6">
        <v>91</v>
      </c>
      <c r="N171" s="7">
        <f t="shared" si="7"/>
        <v>23.933649289099527</v>
      </c>
      <c r="O171" s="6">
        <v>560</v>
      </c>
      <c r="P171" s="6">
        <v>326</v>
      </c>
      <c r="Q171" s="6">
        <v>234</v>
      </c>
      <c r="R171" s="7">
        <v>75.370121130551809</v>
      </c>
      <c r="S171" s="7">
        <v>83.804627249357324</v>
      </c>
      <c r="T171" s="7">
        <v>66.101694915254242</v>
      </c>
      <c r="U171" s="15">
        <f t="shared" si="8"/>
        <v>2</v>
      </c>
    </row>
    <row r="172" spans="1:21" ht="18.75" customHeight="1">
      <c r="A172" s="16">
        <v>175</v>
      </c>
      <c r="B172" s="3">
        <v>28</v>
      </c>
      <c r="C172" s="4" t="s">
        <v>194</v>
      </c>
      <c r="D172" s="9" t="s">
        <v>441</v>
      </c>
      <c r="E172" s="5" t="s">
        <v>167</v>
      </c>
      <c r="F172" s="6">
        <v>118</v>
      </c>
      <c r="G172" s="6">
        <v>657</v>
      </c>
      <c r="H172" s="6">
        <v>333</v>
      </c>
      <c r="I172" s="6">
        <v>324</v>
      </c>
      <c r="J172" s="17">
        <f t="shared" si="6"/>
        <v>972.97297297297303</v>
      </c>
      <c r="K172" s="6">
        <v>184</v>
      </c>
      <c r="L172" s="6">
        <v>89</v>
      </c>
      <c r="M172" s="6">
        <v>95</v>
      </c>
      <c r="N172" s="7">
        <f t="shared" si="7"/>
        <v>28.006088280060879</v>
      </c>
      <c r="O172" s="6">
        <v>444</v>
      </c>
      <c r="P172" s="6">
        <v>239</v>
      </c>
      <c r="Q172" s="6">
        <v>205</v>
      </c>
      <c r="R172" s="7">
        <v>76.683937823834185</v>
      </c>
      <c r="S172" s="7">
        <v>84.452296819787989</v>
      </c>
      <c r="T172" s="7">
        <v>69.256756756756758</v>
      </c>
      <c r="U172" s="15">
        <f t="shared" si="8"/>
        <v>1</v>
      </c>
    </row>
    <row r="173" spans="1:21" ht="18.75" customHeight="1">
      <c r="A173" s="16">
        <v>176</v>
      </c>
      <c r="B173" s="3">
        <v>29</v>
      </c>
      <c r="C173" s="4" t="s">
        <v>195</v>
      </c>
      <c r="D173" s="9" t="s">
        <v>441</v>
      </c>
      <c r="E173" s="5" t="s">
        <v>167</v>
      </c>
      <c r="F173" s="6">
        <v>82</v>
      </c>
      <c r="G173" s="6">
        <v>447</v>
      </c>
      <c r="H173" s="6">
        <v>237</v>
      </c>
      <c r="I173" s="6">
        <v>210</v>
      </c>
      <c r="J173" s="17">
        <f t="shared" si="6"/>
        <v>886.07594936708858</v>
      </c>
      <c r="K173" s="6">
        <v>25</v>
      </c>
      <c r="L173" s="6">
        <v>14</v>
      </c>
      <c r="M173" s="6">
        <v>11</v>
      </c>
      <c r="N173" s="7">
        <f t="shared" si="7"/>
        <v>5.592841163310962</v>
      </c>
      <c r="O173" s="6">
        <v>297</v>
      </c>
      <c r="P173" s="6">
        <v>178</v>
      </c>
      <c r="Q173" s="6">
        <v>119</v>
      </c>
      <c r="R173" s="7">
        <v>73.514851485148512</v>
      </c>
      <c r="S173" s="7">
        <v>83.177570093457945</v>
      </c>
      <c r="T173" s="7">
        <v>62.631578947368418</v>
      </c>
      <c r="U173" s="15">
        <f t="shared" si="8"/>
        <v>2</v>
      </c>
    </row>
    <row r="174" spans="1:21" ht="18.75" customHeight="1">
      <c r="A174" s="16">
        <v>177</v>
      </c>
      <c r="B174" s="3">
        <v>30</v>
      </c>
      <c r="C174" s="4" t="s">
        <v>196</v>
      </c>
      <c r="D174" s="9" t="s">
        <v>441</v>
      </c>
      <c r="E174" s="5" t="s">
        <v>167</v>
      </c>
      <c r="F174" s="6">
        <v>291</v>
      </c>
      <c r="G174" s="6">
        <v>1464</v>
      </c>
      <c r="H174" s="6">
        <v>752</v>
      </c>
      <c r="I174" s="6">
        <v>712</v>
      </c>
      <c r="J174" s="17">
        <f t="shared" si="6"/>
        <v>946.80851063829789</v>
      </c>
      <c r="K174" s="6">
        <v>678</v>
      </c>
      <c r="L174" s="6">
        <v>348</v>
      </c>
      <c r="M174" s="6">
        <v>330</v>
      </c>
      <c r="N174" s="7">
        <f t="shared" si="7"/>
        <v>46.311475409836063</v>
      </c>
      <c r="O174" s="6">
        <v>981</v>
      </c>
      <c r="P174" s="6">
        <v>541</v>
      </c>
      <c r="Q174" s="6">
        <v>440</v>
      </c>
      <c r="R174" s="7">
        <v>75.287797390636996</v>
      </c>
      <c r="S174" s="7">
        <v>80.988023952095816</v>
      </c>
      <c r="T174" s="7">
        <v>69.29133858267717</v>
      </c>
      <c r="U174" s="15">
        <f t="shared" si="8"/>
        <v>1</v>
      </c>
    </row>
    <row r="175" spans="1:21" ht="18.75" customHeight="1">
      <c r="A175" s="16">
        <v>178</v>
      </c>
      <c r="B175" s="3">
        <v>31</v>
      </c>
      <c r="C175" s="4" t="s">
        <v>197</v>
      </c>
      <c r="D175" s="9" t="s">
        <v>441</v>
      </c>
      <c r="E175" s="5" t="s">
        <v>167</v>
      </c>
      <c r="F175" s="6">
        <v>164</v>
      </c>
      <c r="G175" s="6">
        <v>816</v>
      </c>
      <c r="H175" s="6">
        <v>430</v>
      </c>
      <c r="I175" s="6">
        <v>386</v>
      </c>
      <c r="J175" s="17">
        <f t="shared" si="6"/>
        <v>897.67441860465112</v>
      </c>
      <c r="K175" s="6">
        <v>0</v>
      </c>
      <c r="L175" s="6">
        <v>0</v>
      </c>
      <c r="M175" s="6">
        <v>0</v>
      </c>
      <c r="N175" s="7">
        <f t="shared" si="7"/>
        <v>0</v>
      </c>
      <c r="O175" s="6">
        <v>409</v>
      </c>
      <c r="P175" s="6">
        <v>253</v>
      </c>
      <c r="Q175" s="6">
        <v>156</v>
      </c>
      <c r="R175" s="7">
        <v>62.34756097560976</v>
      </c>
      <c r="S175" s="7">
        <v>74.852071005917168</v>
      </c>
      <c r="T175" s="7">
        <v>49.056603773584904</v>
      </c>
      <c r="U175" s="15">
        <f t="shared" si="8"/>
        <v>2</v>
      </c>
    </row>
    <row r="176" spans="1:21" ht="18.75" customHeight="1">
      <c r="A176" s="16">
        <v>179</v>
      </c>
      <c r="B176" s="3">
        <v>32</v>
      </c>
      <c r="C176" s="4" t="s">
        <v>198</v>
      </c>
      <c r="D176" s="9" t="s">
        <v>441</v>
      </c>
      <c r="E176" s="5" t="s">
        <v>167</v>
      </c>
      <c r="F176" s="6">
        <v>201</v>
      </c>
      <c r="G176" s="6">
        <v>1102</v>
      </c>
      <c r="H176" s="6">
        <v>579</v>
      </c>
      <c r="I176" s="6">
        <v>523</v>
      </c>
      <c r="J176" s="17">
        <f t="shared" si="6"/>
        <v>903.2815198618307</v>
      </c>
      <c r="K176" s="6">
        <v>159</v>
      </c>
      <c r="L176" s="6">
        <v>77</v>
      </c>
      <c r="M176" s="6">
        <v>82</v>
      </c>
      <c r="N176" s="7">
        <f t="shared" si="7"/>
        <v>14.42831215970962</v>
      </c>
      <c r="O176" s="6">
        <v>728</v>
      </c>
      <c r="P176" s="6">
        <v>432</v>
      </c>
      <c r="Q176" s="6">
        <v>296</v>
      </c>
      <c r="R176" s="7">
        <v>76.955602536997887</v>
      </c>
      <c r="S176" s="7">
        <v>87.62677484787018</v>
      </c>
      <c r="T176" s="7">
        <v>65.342163355408388</v>
      </c>
      <c r="U176" s="15">
        <f t="shared" si="8"/>
        <v>1</v>
      </c>
    </row>
    <row r="177" spans="1:21" ht="18.75" customHeight="1">
      <c r="A177" s="16">
        <v>180</v>
      </c>
      <c r="B177" s="3">
        <v>33</v>
      </c>
      <c r="C177" s="4" t="s">
        <v>199</v>
      </c>
      <c r="D177" s="9" t="s">
        <v>441</v>
      </c>
      <c r="E177" s="5" t="s">
        <v>167</v>
      </c>
      <c r="F177" s="6">
        <v>637</v>
      </c>
      <c r="G177" s="6">
        <v>3389</v>
      </c>
      <c r="H177" s="6">
        <v>1795</v>
      </c>
      <c r="I177" s="6">
        <v>1594</v>
      </c>
      <c r="J177" s="17">
        <f t="shared" si="6"/>
        <v>888.02228412256272</v>
      </c>
      <c r="K177" s="6">
        <v>997</v>
      </c>
      <c r="L177" s="6">
        <v>516</v>
      </c>
      <c r="M177" s="6">
        <v>481</v>
      </c>
      <c r="N177" s="7">
        <f t="shared" si="7"/>
        <v>29.418707583357921</v>
      </c>
      <c r="O177" s="6">
        <v>2262</v>
      </c>
      <c r="P177" s="6">
        <v>1314</v>
      </c>
      <c r="Q177" s="6">
        <v>948</v>
      </c>
      <c r="R177" s="7">
        <v>75.829701642641638</v>
      </c>
      <c r="S177" s="7">
        <v>84.015345268542191</v>
      </c>
      <c r="T177" s="7">
        <v>66.807610993657505</v>
      </c>
      <c r="U177" s="15">
        <f t="shared" si="8"/>
        <v>2</v>
      </c>
    </row>
    <row r="178" spans="1:21" ht="18.75" customHeight="1">
      <c r="A178" s="16">
        <v>181</v>
      </c>
      <c r="B178" s="3">
        <v>34</v>
      </c>
      <c r="C178" s="4" t="s">
        <v>200</v>
      </c>
      <c r="D178" s="9" t="s">
        <v>441</v>
      </c>
      <c r="E178" s="5" t="s">
        <v>167</v>
      </c>
      <c r="F178" s="6">
        <v>180</v>
      </c>
      <c r="G178" s="6">
        <v>987</v>
      </c>
      <c r="H178" s="6">
        <v>508</v>
      </c>
      <c r="I178" s="6">
        <v>479</v>
      </c>
      <c r="J178" s="17">
        <f t="shared" si="6"/>
        <v>942.91338582677167</v>
      </c>
      <c r="K178" s="6">
        <v>317</v>
      </c>
      <c r="L178" s="6">
        <v>163</v>
      </c>
      <c r="M178" s="6">
        <v>154</v>
      </c>
      <c r="N178" s="7">
        <f t="shared" si="7"/>
        <v>32.117527862208711</v>
      </c>
      <c r="O178" s="6">
        <v>687</v>
      </c>
      <c r="P178" s="6">
        <v>381</v>
      </c>
      <c r="Q178" s="6">
        <v>306</v>
      </c>
      <c r="R178" s="7">
        <v>80.633802816901408</v>
      </c>
      <c r="S178" s="7">
        <v>88.194444444444443</v>
      </c>
      <c r="T178" s="7">
        <v>72.857142857142847</v>
      </c>
      <c r="U178" s="15">
        <f t="shared" si="8"/>
        <v>1</v>
      </c>
    </row>
    <row r="179" spans="1:21" ht="18.75" customHeight="1">
      <c r="A179" s="16">
        <v>182</v>
      </c>
      <c r="B179" s="3">
        <v>35</v>
      </c>
      <c r="C179" s="4" t="s">
        <v>201</v>
      </c>
      <c r="D179" s="9" t="s">
        <v>441</v>
      </c>
      <c r="E179" s="5" t="s">
        <v>167</v>
      </c>
      <c r="F179" s="6">
        <v>188</v>
      </c>
      <c r="G179" s="6">
        <v>1122</v>
      </c>
      <c r="H179" s="6">
        <v>571</v>
      </c>
      <c r="I179" s="6">
        <v>551</v>
      </c>
      <c r="J179" s="17">
        <f t="shared" si="6"/>
        <v>964.97373029772325</v>
      </c>
      <c r="K179" s="6">
        <v>256</v>
      </c>
      <c r="L179" s="6">
        <v>137</v>
      </c>
      <c r="M179" s="6">
        <v>119</v>
      </c>
      <c r="N179" s="7">
        <f t="shared" si="7"/>
        <v>22.816399286987522</v>
      </c>
      <c r="O179" s="6">
        <v>681</v>
      </c>
      <c r="P179" s="6">
        <v>404</v>
      </c>
      <c r="Q179" s="6">
        <v>277</v>
      </c>
      <c r="R179" s="7">
        <v>70.206185567010309</v>
      </c>
      <c r="S179" s="7">
        <v>81.616161616161619</v>
      </c>
      <c r="T179" s="7">
        <v>58.315789473684212</v>
      </c>
      <c r="U179" s="15">
        <f t="shared" si="8"/>
        <v>1</v>
      </c>
    </row>
    <row r="180" spans="1:21" ht="18.75" customHeight="1">
      <c r="A180" s="16">
        <v>183</v>
      </c>
      <c r="B180" s="3">
        <v>36</v>
      </c>
      <c r="C180" s="4" t="s">
        <v>202</v>
      </c>
      <c r="D180" s="9" t="s">
        <v>441</v>
      </c>
      <c r="E180" s="5" t="s">
        <v>167</v>
      </c>
      <c r="F180" s="6">
        <v>157</v>
      </c>
      <c r="G180" s="6">
        <v>815</v>
      </c>
      <c r="H180" s="6">
        <v>423</v>
      </c>
      <c r="I180" s="6">
        <v>392</v>
      </c>
      <c r="J180" s="17">
        <f t="shared" si="6"/>
        <v>926.71394799054372</v>
      </c>
      <c r="K180" s="6">
        <v>168</v>
      </c>
      <c r="L180" s="6">
        <v>82</v>
      </c>
      <c r="M180" s="6">
        <v>86</v>
      </c>
      <c r="N180" s="7">
        <f t="shared" si="7"/>
        <v>20.613496932515339</v>
      </c>
      <c r="O180" s="6">
        <v>584</v>
      </c>
      <c r="P180" s="6">
        <v>328</v>
      </c>
      <c r="Q180" s="6">
        <v>256</v>
      </c>
      <c r="R180" s="7">
        <v>79.672578444747614</v>
      </c>
      <c r="S180" s="7">
        <v>86.772486772486772</v>
      </c>
      <c r="T180" s="7">
        <v>72.112676056338032</v>
      </c>
      <c r="U180" s="15">
        <f t="shared" si="8"/>
        <v>1</v>
      </c>
    </row>
    <row r="181" spans="1:21" ht="18.75" customHeight="1">
      <c r="A181" s="16">
        <v>184</v>
      </c>
      <c r="B181" s="3">
        <v>37</v>
      </c>
      <c r="C181" s="4" t="s">
        <v>203</v>
      </c>
      <c r="D181" s="9" t="s">
        <v>441</v>
      </c>
      <c r="E181" s="5" t="s">
        <v>167</v>
      </c>
      <c r="F181" s="6">
        <v>142</v>
      </c>
      <c r="G181" s="6">
        <v>848</v>
      </c>
      <c r="H181" s="6">
        <v>438</v>
      </c>
      <c r="I181" s="6">
        <v>410</v>
      </c>
      <c r="J181" s="17">
        <f t="shared" si="6"/>
        <v>936.07305936073055</v>
      </c>
      <c r="K181" s="6">
        <v>128</v>
      </c>
      <c r="L181" s="6">
        <v>69</v>
      </c>
      <c r="M181" s="6">
        <v>59</v>
      </c>
      <c r="N181" s="7">
        <f t="shared" si="7"/>
        <v>15.09433962264151</v>
      </c>
      <c r="O181" s="6">
        <v>568</v>
      </c>
      <c r="P181" s="6">
        <v>318</v>
      </c>
      <c r="Q181" s="6">
        <v>250</v>
      </c>
      <c r="R181" s="7">
        <v>75.132275132275126</v>
      </c>
      <c r="S181" s="7">
        <v>81.958762886597938</v>
      </c>
      <c r="T181" s="7">
        <v>67.934782608695656</v>
      </c>
      <c r="U181" s="15">
        <f t="shared" si="8"/>
        <v>1</v>
      </c>
    </row>
    <row r="182" spans="1:21" ht="18.75" customHeight="1">
      <c r="A182" s="16">
        <v>185</v>
      </c>
      <c r="B182" s="3">
        <v>38</v>
      </c>
      <c r="C182" s="4" t="s">
        <v>204</v>
      </c>
      <c r="D182" s="9" t="s">
        <v>441</v>
      </c>
      <c r="E182" s="5" t="s">
        <v>167</v>
      </c>
      <c r="F182" s="6">
        <v>60</v>
      </c>
      <c r="G182" s="6">
        <v>305</v>
      </c>
      <c r="H182" s="6">
        <v>160</v>
      </c>
      <c r="I182" s="6">
        <v>145</v>
      </c>
      <c r="J182" s="17">
        <f t="shared" si="6"/>
        <v>906.25</v>
      </c>
      <c r="K182" s="6">
        <v>110</v>
      </c>
      <c r="L182" s="6">
        <v>56</v>
      </c>
      <c r="M182" s="6">
        <v>54</v>
      </c>
      <c r="N182" s="7">
        <f t="shared" si="7"/>
        <v>36.065573770491802</v>
      </c>
      <c r="O182" s="6">
        <v>208</v>
      </c>
      <c r="P182" s="6">
        <v>115</v>
      </c>
      <c r="Q182" s="6">
        <v>93</v>
      </c>
      <c r="R182" s="7">
        <v>75.63636363636364</v>
      </c>
      <c r="S182" s="7">
        <v>80.419580419580413</v>
      </c>
      <c r="T182" s="7">
        <v>70.454545454545453</v>
      </c>
      <c r="U182" s="15">
        <f t="shared" si="8"/>
        <v>1</v>
      </c>
    </row>
    <row r="183" spans="1:21" ht="18.75" customHeight="1">
      <c r="A183" s="16">
        <v>186</v>
      </c>
      <c r="B183" s="3">
        <v>39</v>
      </c>
      <c r="C183" s="4" t="s">
        <v>205</v>
      </c>
      <c r="D183" s="9" t="s">
        <v>441</v>
      </c>
      <c r="E183" s="5" t="s">
        <v>167</v>
      </c>
      <c r="F183" s="6">
        <v>561</v>
      </c>
      <c r="G183" s="6">
        <v>2865</v>
      </c>
      <c r="H183" s="6">
        <v>1481</v>
      </c>
      <c r="I183" s="6">
        <v>1384</v>
      </c>
      <c r="J183" s="17">
        <f t="shared" si="6"/>
        <v>934.50371370695473</v>
      </c>
      <c r="K183" s="6">
        <v>882</v>
      </c>
      <c r="L183" s="6">
        <v>454</v>
      </c>
      <c r="M183" s="6">
        <v>428</v>
      </c>
      <c r="N183" s="7">
        <f t="shared" si="7"/>
        <v>30.785340314136128</v>
      </c>
      <c r="O183" s="6">
        <v>1955</v>
      </c>
      <c r="P183" s="6">
        <v>1141</v>
      </c>
      <c r="Q183" s="6">
        <v>814</v>
      </c>
      <c r="R183" s="7">
        <v>78.83064516129032</v>
      </c>
      <c r="S183" s="7">
        <v>88.724727838258161</v>
      </c>
      <c r="T183" s="7">
        <v>68.174204355108884</v>
      </c>
      <c r="U183" s="15">
        <f t="shared" si="8"/>
        <v>1</v>
      </c>
    </row>
    <row r="184" spans="1:21" ht="18.75" customHeight="1">
      <c r="A184" s="16">
        <v>188</v>
      </c>
      <c r="B184" s="3">
        <v>41</v>
      </c>
      <c r="C184" s="4" t="s">
        <v>207</v>
      </c>
      <c r="D184" s="9" t="s">
        <v>441</v>
      </c>
      <c r="E184" s="5" t="s">
        <v>167</v>
      </c>
      <c r="F184" s="6">
        <v>113</v>
      </c>
      <c r="G184" s="6">
        <v>604</v>
      </c>
      <c r="H184" s="6">
        <v>342</v>
      </c>
      <c r="I184" s="6">
        <v>262</v>
      </c>
      <c r="J184" s="17">
        <f t="shared" si="6"/>
        <v>766.0818713450293</v>
      </c>
      <c r="K184" s="6">
        <v>58</v>
      </c>
      <c r="L184" s="6">
        <v>30</v>
      </c>
      <c r="M184" s="6">
        <v>28</v>
      </c>
      <c r="N184" s="7">
        <f t="shared" si="7"/>
        <v>9.6026490066225172</v>
      </c>
      <c r="O184" s="6">
        <v>389</v>
      </c>
      <c r="P184" s="6">
        <v>245</v>
      </c>
      <c r="Q184" s="6">
        <v>144</v>
      </c>
      <c r="R184" s="7">
        <v>74.807692307692307</v>
      </c>
      <c r="S184" s="7">
        <v>83.904109589041099</v>
      </c>
      <c r="T184" s="7">
        <v>63.157894736842103</v>
      </c>
      <c r="U184" s="15">
        <f t="shared" si="8"/>
        <v>3</v>
      </c>
    </row>
    <row r="185" spans="1:21" ht="18.75" customHeight="1">
      <c r="A185" s="16">
        <v>189</v>
      </c>
      <c r="B185" s="3">
        <v>42</v>
      </c>
      <c r="C185" s="4" t="s">
        <v>208</v>
      </c>
      <c r="D185" s="9" t="s">
        <v>441</v>
      </c>
      <c r="E185" s="5" t="s">
        <v>167</v>
      </c>
      <c r="F185" s="6">
        <v>629</v>
      </c>
      <c r="G185" s="6">
        <v>3289</v>
      </c>
      <c r="H185" s="6">
        <v>1707</v>
      </c>
      <c r="I185" s="6">
        <v>1582</v>
      </c>
      <c r="J185" s="17">
        <f t="shared" si="6"/>
        <v>926.77211482132395</v>
      </c>
      <c r="K185" s="6">
        <v>291</v>
      </c>
      <c r="L185" s="6">
        <v>146</v>
      </c>
      <c r="M185" s="6">
        <v>145</v>
      </c>
      <c r="N185" s="7">
        <f t="shared" si="7"/>
        <v>8.8476740650653696</v>
      </c>
      <c r="O185" s="6">
        <v>1973</v>
      </c>
      <c r="P185" s="6">
        <v>1167</v>
      </c>
      <c r="Q185" s="6">
        <v>806</v>
      </c>
      <c r="R185" s="7">
        <v>69.398522687302147</v>
      </c>
      <c r="S185" s="7">
        <v>79.172320217096342</v>
      </c>
      <c r="T185" s="7">
        <v>58.875091307523739</v>
      </c>
      <c r="U185" s="15">
        <f t="shared" si="8"/>
        <v>1</v>
      </c>
    </row>
    <row r="186" spans="1:21" ht="18.75" customHeight="1">
      <c r="A186" s="16">
        <v>190</v>
      </c>
      <c r="B186" s="3">
        <v>43</v>
      </c>
      <c r="C186" s="4" t="s">
        <v>209</v>
      </c>
      <c r="D186" s="9" t="s">
        <v>441</v>
      </c>
      <c r="E186" s="5" t="s">
        <v>167</v>
      </c>
      <c r="F186" s="6">
        <v>594</v>
      </c>
      <c r="G186" s="6">
        <v>3341</v>
      </c>
      <c r="H186" s="6">
        <v>1756</v>
      </c>
      <c r="I186" s="6">
        <v>1585</v>
      </c>
      <c r="J186" s="17">
        <f t="shared" si="6"/>
        <v>902.61958997722093</v>
      </c>
      <c r="K186" s="6">
        <v>738</v>
      </c>
      <c r="L186" s="6">
        <v>387</v>
      </c>
      <c r="M186" s="6">
        <v>351</v>
      </c>
      <c r="N186" s="7">
        <f t="shared" si="7"/>
        <v>22.089194851840766</v>
      </c>
      <c r="O186" s="6">
        <v>2231</v>
      </c>
      <c r="P186" s="6">
        <v>1269</v>
      </c>
      <c r="Q186" s="6">
        <v>962</v>
      </c>
      <c r="R186" s="7">
        <v>76.614010989010993</v>
      </c>
      <c r="S186" s="7">
        <v>83.873099801718439</v>
      </c>
      <c r="T186" s="7">
        <v>68.763402430307366</v>
      </c>
      <c r="U186" s="15">
        <f t="shared" si="8"/>
        <v>1</v>
      </c>
    </row>
    <row r="187" spans="1:21" ht="18.75" customHeight="1">
      <c r="A187" s="16">
        <v>191</v>
      </c>
      <c r="B187" s="3">
        <v>44</v>
      </c>
      <c r="C187" s="4" t="s">
        <v>210</v>
      </c>
      <c r="D187" s="9" t="s">
        <v>441</v>
      </c>
      <c r="E187" s="5" t="s">
        <v>167</v>
      </c>
      <c r="F187" s="6">
        <v>285</v>
      </c>
      <c r="G187" s="6">
        <v>1370</v>
      </c>
      <c r="H187" s="6">
        <v>743</v>
      </c>
      <c r="I187" s="6">
        <v>627</v>
      </c>
      <c r="J187" s="17">
        <f t="shared" si="6"/>
        <v>843.87617765814275</v>
      </c>
      <c r="K187" s="6">
        <v>525</v>
      </c>
      <c r="L187" s="6">
        <v>287</v>
      </c>
      <c r="M187" s="6">
        <v>238</v>
      </c>
      <c r="N187" s="7">
        <f t="shared" si="7"/>
        <v>38.321167883211679</v>
      </c>
      <c r="O187" s="6">
        <v>567</v>
      </c>
      <c r="P187" s="6">
        <v>342</v>
      </c>
      <c r="Q187" s="6">
        <v>225</v>
      </c>
      <c r="R187" s="7">
        <v>49.433304272013949</v>
      </c>
      <c r="S187" s="7">
        <v>55.791190864600324</v>
      </c>
      <c r="T187" s="7">
        <v>42.134831460674157</v>
      </c>
      <c r="U187" s="15">
        <f t="shared" si="8"/>
        <v>2</v>
      </c>
    </row>
    <row r="188" spans="1:21" ht="18.75" customHeight="1">
      <c r="A188" s="16">
        <v>192</v>
      </c>
      <c r="B188" s="3">
        <v>45</v>
      </c>
      <c r="C188" s="4" t="s">
        <v>211</v>
      </c>
      <c r="D188" s="9" t="s">
        <v>441</v>
      </c>
      <c r="E188" s="5" t="s">
        <v>167</v>
      </c>
      <c r="F188" s="6">
        <v>677</v>
      </c>
      <c r="G188" s="6">
        <v>3601</v>
      </c>
      <c r="H188" s="6">
        <v>1908</v>
      </c>
      <c r="I188" s="6">
        <v>1693</v>
      </c>
      <c r="J188" s="17">
        <f t="shared" si="6"/>
        <v>887.31656184486371</v>
      </c>
      <c r="K188" s="6">
        <v>1158</v>
      </c>
      <c r="L188" s="6">
        <v>613</v>
      </c>
      <c r="M188" s="6">
        <v>545</v>
      </c>
      <c r="N188" s="7">
        <f t="shared" si="7"/>
        <v>32.157733962788114</v>
      </c>
      <c r="O188" s="6">
        <v>2531</v>
      </c>
      <c r="P188" s="6">
        <v>1457</v>
      </c>
      <c r="Q188" s="6">
        <v>1074</v>
      </c>
      <c r="R188" s="7">
        <v>79.217527386541477</v>
      </c>
      <c r="S188" s="7">
        <v>85.705882352941174</v>
      </c>
      <c r="T188" s="7">
        <v>71.839464882943147</v>
      </c>
      <c r="U188" s="15">
        <f t="shared" si="8"/>
        <v>2</v>
      </c>
    </row>
    <row r="189" spans="1:21" ht="18.75" customHeight="1">
      <c r="A189" s="16">
        <v>193</v>
      </c>
      <c r="B189" s="3">
        <v>46</v>
      </c>
      <c r="C189" s="4" t="s">
        <v>212</v>
      </c>
      <c r="D189" s="9" t="s">
        <v>441</v>
      </c>
      <c r="E189" s="5" t="s">
        <v>167</v>
      </c>
      <c r="F189" s="6">
        <v>140</v>
      </c>
      <c r="G189" s="6">
        <v>805</v>
      </c>
      <c r="H189" s="6">
        <v>430</v>
      </c>
      <c r="I189" s="6">
        <v>375</v>
      </c>
      <c r="J189" s="17">
        <f t="shared" si="6"/>
        <v>872.09302325581393</v>
      </c>
      <c r="K189" s="6">
        <v>193</v>
      </c>
      <c r="L189" s="6">
        <v>101</v>
      </c>
      <c r="M189" s="6">
        <v>92</v>
      </c>
      <c r="N189" s="7">
        <f t="shared" si="7"/>
        <v>23.975155279503106</v>
      </c>
      <c r="O189" s="6">
        <v>528</v>
      </c>
      <c r="P189" s="6">
        <v>315</v>
      </c>
      <c r="Q189" s="6">
        <v>213</v>
      </c>
      <c r="R189" s="7">
        <v>75</v>
      </c>
      <c r="S189" s="7">
        <v>84.224598930481292</v>
      </c>
      <c r="T189" s="7">
        <v>64.545454545454547</v>
      </c>
      <c r="U189" s="15">
        <f t="shared" si="8"/>
        <v>2</v>
      </c>
    </row>
    <row r="190" spans="1:21" ht="18.75" customHeight="1">
      <c r="A190" s="16">
        <v>194</v>
      </c>
      <c r="B190" s="3">
        <v>47</v>
      </c>
      <c r="C190" s="4" t="s">
        <v>213</v>
      </c>
      <c r="D190" s="9" t="s">
        <v>441</v>
      </c>
      <c r="E190" s="5" t="s">
        <v>167</v>
      </c>
      <c r="F190" s="6">
        <v>201</v>
      </c>
      <c r="G190" s="6">
        <v>1011</v>
      </c>
      <c r="H190" s="6">
        <v>532</v>
      </c>
      <c r="I190" s="6">
        <v>479</v>
      </c>
      <c r="J190" s="17">
        <f t="shared" si="6"/>
        <v>900.37593984962405</v>
      </c>
      <c r="K190" s="6">
        <v>344</v>
      </c>
      <c r="L190" s="6">
        <v>186</v>
      </c>
      <c r="M190" s="6">
        <v>158</v>
      </c>
      <c r="N190" s="7">
        <f t="shared" si="7"/>
        <v>34.025717111770525</v>
      </c>
      <c r="O190" s="6">
        <v>670</v>
      </c>
      <c r="P190" s="6">
        <v>402</v>
      </c>
      <c r="Q190" s="6">
        <v>268</v>
      </c>
      <c r="R190" s="7">
        <v>75.535512965050728</v>
      </c>
      <c r="S190" s="7">
        <v>85.531914893617028</v>
      </c>
      <c r="T190" s="7">
        <v>64.268585131894483</v>
      </c>
      <c r="U190" s="15">
        <f t="shared" si="8"/>
        <v>1</v>
      </c>
    </row>
    <row r="191" spans="1:21" ht="18.75" customHeight="1">
      <c r="A191" s="16">
        <v>195</v>
      </c>
      <c r="B191" s="3">
        <v>48</v>
      </c>
      <c r="C191" s="4" t="s">
        <v>214</v>
      </c>
      <c r="D191" s="9" t="s">
        <v>441</v>
      </c>
      <c r="E191" s="5" t="s">
        <v>167</v>
      </c>
      <c r="F191" s="6">
        <v>253</v>
      </c>
      <c r="G191" s="6">
        <v>1286</v>
      </c>
      <c r="H191" s="6">
        <v>672</v>
      </c>
      <c r="I191" s="6">
        <v>614</v>
      </c>
      <c r="J191" s="17">
        <f t="shared" si="6"/>
        <v>913.69047619047615</v>
      </c>
      <c r="K191" s="6">
        <v>654</v>
      </c>
      <c r="L191" s="6">
        <v>351</v>
      </c>
      <c r="M191" s="6">
        <v>303</v>
      </c>
      <c r="N191" s="7">
        <f t="shared" si="7"/>
        <v>50.855365474339031</v>
      </c>
      <c r="O191" s="6">
        <v>830</v>
      </c>
      <c r="P191" s="6">
        <v>485</v>
      </c>
      <c r="Q191" s="6">
        <v>345</v>
      </c>
      <c r="R191" s="7">
        <v>74.306177260519249</v>
      </c>
      <c r="S191" s="7">
        <v>84.34782608695653</v>
      </c>
      <c r="T191" s="7">
        <v>63.65313653136532</v>
      </c>
      <c r="U191" s="15">
        <f t="shared" si="8"/>
        <v>1</v>
      </c>
    </row>
    <row r="192" spans="1:21" ht="18.75" customHeight="1">
      <c r="A192" s="16">
        <v>196</v>
      </c>
      <c r="B192" s="3">
        <v>49</v>
      </c>
      <c r="C192" s="4" t="s">
        <v>215</v>
      </c>
      <c r="D192" s="9" t="s">
        <v>441</v>
      </c>
      <c r="E192" s="5" t="s">
        <v>167</v>
      </c>
      <c r="F192" s="6">
        <v>136</v>
      </c>
      <c r="G192" s="6">
        <v>651</v>
      </c>
      <c r="H192" s="6">
        <v>349</v>
      </c>
      <c r="I192" s="6">
        <v>302</v>
      </c>
      <c r="J192" s="17">
        <f t="shared" si="6"/>
        <v>865.32951289398284</v>
      </c>
      <c r="K192" s="6">
        <v>392</v>
      </c>
      <c r="L192" s="6">
        <v>214</v>
      </c>
      <c r="M192" s="6">
        <v>178</v>
      </c>
      <c r="N192" s="7">
        <f t="shared" si="7"/>
        <v>60.215053763440864</v>
      </c>
      <c r="O192" s="6">
        <v>435</v>
      </c>
      <c r="P192" s="6">
        <v>265</v>
      </c>
      <c r="Q192" s="6">
        <v>170</v>
      </c>
      <c r="R192" s="7">
        <v>75.65217391304347</v>
      </c>
      <c r="S192" s="7">
        <v>86.038961038961034</v>
      </c>
      <c r="T192" s="7">
        <v>63.670411985018724</v>
      </c>
      <c r="U192" s="15">
        <f t="shared" si="8"/>
        <v>2</v>
      </c>
    </row>
    <row r="193" spans="1:21" ht="18.75" customHeight="1">
      <c r="A193" s="16">
        <v>197</v>
      </c>
      <c r="B193" s="3">
        <v>50</v>
      </c>
      <c r="C193" s="4" t="s">
        <v>216</v>
      </c>
      <c r="D193" s="9" t="s">
        <v>441</v>
      </c>
      <c r="E193" s="5" t="s">
        <v>167</v>
      </c>
      <c r="F193" s="6">
        <v>272</v>
      </c>
      <c r="G193" s="6">
        <v>1498</v>
      </c>
      <c r="H193" s="6">
        <v>811</v>
      </c>
      <c r="I193" s="6">
        <v>687</v>
      </c>
      <c r="J193" s="17">
        <f t="shared" si="6"/>
        <v>847.10234278668304</v>
      </c>
      <c r="K193" s="6">
        <v>150</v>
      </c>
      <c r="L193" s="6">
        <v>78</v>
      </c>
      <c r="M193" s="6">
        <v>72</v>
      </c>
      <c r="N193" s="7">
        <f t="shared" si="7"/>
        <v>10.013351134846461</v>
      </c>
      <c r="O193" s="6">
        <v>1044</v>
      </c>
      <c r="P193" s="6">
        <v>644</v>
      </c>
      <c r="Q193" s="6">
        <v>400</v>
      </c>
      <c r="R193" s="7">
        <v>78.614457831325296</v>
      </c>
      <c r="S193" s="7">
        <v>90.322580645161281</v>
      </c>
      <c r="T193" s="7">
        <v>65.040650406504056</v>
      </c>
      <c r="U193" s="15">
        <f t="shared" si="8"/>
        <v>2</v>
      </c>
    </row>
    <row r="194" spans="1:21" ht="18.75" customHeight="1">
      <c r="A194" s="16">
        <v>198</v>
      </c>
      <c r="B194" s="3">
        <v>51</v>
      </c>
      <c r="C194" s="4" t="s">
        <v>217</v>
      </c>
      <c r="D194" s="9" t="s">
        <v>441</v>
      </c>
      <c r="E194" s="5" t="s">
        <v>167</v>
      </c>
      <c r="F194" s="6">
        <v>263</v>
      </c>
      <c r="G194" s="6">
        <v>1390</v>
      </c>
      <c r="H194" s="6">
        <v>718</v>
      </c>
      <c r="I194" s="6">
        <v>672</v>
      </c>
      <c r="J194" s="17">
        <f t="shared" ref="J194:J257" si="9">I194/H194*1000</f>
        <v>935.93314763231194</v>
      </c>
      <c r="K194" s="6">
        <v>295</v>
      </c>
      <c r="L194" s="6">
        <v>156</v>
      </c>
      <c r="M194" s="6">
        <v>139</v>
      </c>
      <c r="N194" s="7">
        <f t="shared" ref="N194:N257" si="10">K194/G194*100</f>
        <v>21.223021582733814</v>
      </c>
      <c r="O194" s="6">
        <v>951</v>
      </c>
      <c r="P194" s="6">
        <v>540</v>
      </c>
      <c r="Q194" s="6">
        <v>411</v>
      </c>
      <c r="R194" s="7">
        <v>77.317073170731703</v>
      </c>
      <c r="S194" s="7">
        <v>85.308056872037923</v>
      </c>
      <c r="T194" s="7">
        <v>68.844221105527637</v>
      </c>
      <c r="U194" s="15">
        <f t="shared" si="8"/>
        <v>1</v>
      </c>
    </row>
    <row r="195" spans="1:21" ht="18.75" customHeight="1">
      <c r="A195" s="16">
        <v>199</v>
      </c>
      <c r="B195" s="3">
        <v>52</v>
      </c>
      <c r="C195" s="4" t="s">
        <v>218</v>
      </c>
      <c r="D195" s="9" t="s">
        <v>441</v>
      </c>
      <c r="E195" s="5" t="s">
        <v>167</v>
      </c>
      <c r="F195" s="6">
        <v>218</v>
      </c>
      <c r="G195" s="6">
        <v>1138</v>
      </c>
      <c r="H195" s="6">
        <v>601</v>
      </c>
      <c r="I195" s="6">
        <v>537</v>
      </c>
      <c r="J195" s="17">
        <f t="shared" si="9"/>
        <v>893.51081530782028</v>
      </c>
      <c r="K195" s="6">
        <v>483</v>
      </c>
      <c r="L195" s="6">
        <v>253</v>
      </c>
      <c r="M195" s="6">
        <v>230</v>
      </c>
      <c r="N195" s="7">
        <f t="shared" si="10"/>
        <v>42.442882249560633</v>
      </c>
      <c r="O195" s="6">
        <v>748</v>
      </c>
      <c r="P195" s="6">
        <v>450</v>
      </c>
      <c r="Q195" s="6">
        <v>298</v>
      </c>
      <c r="R195" s="7">
        <v>76.248725790010198</v>
      </c>
      <c r="S195" s="7">
        <v>86.872586872586879</v>
      </c>
      <c r="T195" s="7">
        <v>64.362850971922242</v>
      </c>
      <c r="U195" s="15">
        <f t="shared" ref="U195:U258" si="11">IF($J195&gt;900,1,IF($J195&gt;800,2,IF($J195&gt;700,3,0)))</f>
        <v>2</v>
      </c>
    </row>
    <row r="196" spans="1:21" ht="18.75" customHeight="1">
      <c r="A196" s="16">
        <v>200</v>
      </c>
      <c r="B196" s="3">
        <v>53</v>
      </c>
      <c r="C196" s="4" t="s">
        <v>219</v>
      </c>
      <c r="D196" s="9" t="s">
        <v>441</v>
      </c>
      <c r="E196" s="5" t="s">
        <v>167</v>
      </c>
      <c r="F196" s="6">
        <v>321</v>
      </c>
      <c r="G196" s="6">
        <v>1877</v>
      </c>
      <c r="H196" s="6">
        <v>980</v>
      </c>
      <c r="I196" s="6">
        <v>897</v>
      </c>
      <c r="J196" s="17">
        <f t="shared" si="9"/>
        <v>915.30612244897952</v>
      </c>
      <c r="K196" s="6">
        <v>452</v>
      </c>
      <c r="L196" s="6">
        <v>237</v>
      </c>
      <c r="M196" s="6">
        <v>215</v>
      </c>
      <c r="N196" s="7">
        <f t="shared" si="10"/>
        <v>24.080980287693126</v>
      </c>
      <c r="O196" s="6">
        <v>1313</v>
      </c>
      <c r="P196" s="6">
        <v>749</v>
      </c>
      <c r="Q196" s="6">
        <v>564</v>
      </c>
      <c r="R196" s="7">
        <v>77.463126843657818</v>
      </c>
      <c r="S196" s="7">
        <v>85.894495412844037</v>
      </c>
      <c r="T196" s="7">
        <v>68.529769137302551</v>
      </c>
      <c r="U196" s="15">
        <f t="shared" si="11"/>
        <v>1</v>
      </c>
    </row>
    <row r="197" spans="1:21" ht="18.75" customHeight="1">
      <c r="A197" s="16">
        <v>201</v>
      </c>
      <c r="B197" s="3">
        <v>1</v>
      </c>
      <c r="C197" s="4" t="s">
        <v>220</v>
      </c>
      <c r="D197" s="9" t="s">
        <v>441</v>
      </c>
      <c r="E197" s="5" t="s">
        <v>221</v>
      </c>
      <c r="F197" s="6">
        <v>1338</v>
      </c>
      <c r="G197" s="6">
        <v>6984</v>
      </c>
      <c r="H197" s="6">
        <v>3710</v>
      </c>
      <c r="I197" s="6">
        <v>3274</v>
      </c>
      <c r="J197" s="17">
        <f t="shared" si="9"/>
        <v>882.47978436657684</v>
      </c>
      <c r="K197" s="6">
        <v>1942</v>
      </c>
      <c r="L197" s="6">
        <v>1000</v>
      </c>
      <c r="M197" s="6">
        <v>942</v>
      </c>
      <c r="N197" s="7">
        <f t="shared" si="10"/>
        <v>27.806414662084766</v>
      </c>
      <c r="O197" s="6">
        <v>4731</v>
      </c>
      <c r="P197" s="6">
        <v>2672</v>
      </c>
      <c r="Q197" s="6">
        <v>2059</v>
      </c>
      <c r="R197" s="7">
        <v>77.519252826478777</v>
      </c>
      <c r="S197" s="7">
        <v>82.750077423350888</v>
      </c>
      <c r="T197" s="7">
        <v>71.642310368823942</v>
      </c>
      <c r="U197" s="15">
        <f t="shared" si="11"/>
        <v>2</v>
      </c>
    </row>
    <row r="198" spans="1:21" ht="18.75" customHeight="1">
      <c r="A198" s="16">
        <v>202</v>
      </c>
      <c r="B198" s="3">
        <v>2</v>
      </c>
      <c r="C198" s="4" t="s">
        <v>222</v>
      </c>
      <c r="D198" s="9" t="s">
        <v>441</v>
      </c>
      <c r="E198" s="5" t="s">
        <v>221</v>
      </c>
      <c r="F198" s="6">
        <v>332</v>
      </c>
      <c r="G198" s="6">
        <v>1799</v>
      </c>
      <c r="H198" s="6">
        <v>955</v>
      </c>
      <c r="I198" s="6">
        <v>844</v>
      </c>
      <c r="J198" s="17">
        <f t="shared" si="9"/>
        <v>883.76963350785343</v>
      </c>
      <c r="K198" s="6">
        <v>181</v>
      </c>
      <c r="L198" s="6">
        <v>91</v>
      </c>
      <c r="M198" s="6">
        <v>90</v>
      </c>
      <c r="N198" s="7">
        <f t="shared" si="10"/>
        <v>10.061145080600333</v>
      </c>
      <c r="O198" s="6">
        <v>1179</v>
      </c>
      <c r="P198" s="6">
        <v>692</v>
      </c>
      <c r="Q198" s="6">
        <v>487</v>
      </c>
      <c r="R198" s="7">
        <v>74.104336895034578</v>
      </c>
      <c r="S198" s="7">
        <v>82.38095238095238</v>
      </c>
      <c r="T198" s="7">
        <v>64.846870838881486</v>
      </c>
      <c r="U198" s="15">
        <f t="shared" si="11"/>
        <v>2</v>
      </c>
    </row>
    <row r="199" spans="1:21" ht="18.75" customHeight="1">
      <c r="A199" s="16">
        <v>203</v>
      </c>
      <c r="B199" s="3">
        <v>3</v>
      </c>
      <c r="C199" s="4" t="s">
        <v>223</v>
      </c>
      <c r="D199" s="9" t="s">
        <v>441</v>
      </c>
      <c r="E199" s="5" t="s">
        <v>221</v>
      </c>
      <c r="F199" s="6">
        <v>332</v>
      </c>
      <c r="G199" s="6">
        <v>1764</v>
      </c>
      <c r="H199" s="6">
        <v>928</v>
      </c>
      <c r="I199" s="6">
        <v>836</v>
      </c>
      <c r="J199" s="17">
        <f t="shared" si="9"/>
        <v>900.86206896551721</v>
      </c>
      <c r="K199" s="6">
        <v>576</v>
      </c>
      <c r="L199" s="6">
        <v>298</v>
      </c>
      <c r="M199" s="6">
        <v>278</v>
      </c>
      <c r="N199" s="7">
        <f t="shared" si="10"/>
        <v>32.653061224489797</v>
      </c>
      <c r="O199" s="6">
        <v>1103</v>
      </c>
      <c r="P199" s="6">
        <v>664</v>
      </c>
      <c r="Q199" s="6">
        <v>439</v>
      </c>
      <c r="R199" s="7">
        <v>70.434227330779052</v>
      </c>
      <c r="S199" s="7">
        <v>80.680437424058326</v>
      </c>
      <c r="T199" s="7">
        <v>59.084791386271874</v>
      </c>
      <c r="U199" s="15">
        <f t="shared" si="11"/>
        <v>1</v>
      </c>
    </row>
    <row r="200" spans="1:21" ht="18.75" customHeight="1">
      <c r="A200" s="16">
        <v>204</v>
      </c>
      <c r="B200" s="3">
        <v>4</v>
      </c>
      <c r="C200" s="4" t="s">
        <v>224</v>
      </c>
      <c r="D200" s="9" t="s">
        <v>441</v>
      </c>
      <c r="E200" s="5" t="s">
        <v>221</v>
      </c>
      <c r="F200" s="6">
        <v>203</v>
      </c>
      <c r="G200" s="6">
        <v>1096</v>
      </c>
      <c r="H200" s="6">
        <v>575</v>
      </c>
      <c r="I200" s="6">
        <v>521</v>
      </c>
      <c r="J200" s="17">
        <f t="shared" si="9"/>
        <v>906.08695652173913</v>
      </c>
      <c r="K200" s="6">
        <v>140</v>
      </c>
      <c r="L200" s="6">
        <v>72</v>
      </c>
      <c r="M200" s="6">
        <v>68</v>
      </c>
      <c r="N200" s="7">
        <f t="shared" si="10"/>
        <v>12.773722627737227</v>
      </c>
      <c r="O200" s="6">
        <v>718</v>
      </c>
      <c r="P200" s="6">
        <v>430</v>
      </c>
      <c r="Q200" s="6">
        <v>288</v>
      </c>
      <c r="R200" s="7">
        <v>72.819472616632865</v>
      </c>
      <c r="S200" s="7">
        <v>82.061068702290072</v>
      </c>
      <c r="T200" s="7">
        <v>62.337662337662337</v>
      </c>
      <c r="U200" s="15">
        <f t="shared" si="11"/>
        <v>1</v>
      </c>
    </row>
    <row r="201" spans="1:21" ht="18.75" customHeight="1">
      <c r="A201" s="16">
        <v>205</v>
      </c>
      <c r="B201" s="3">
        <v>5</v>
      </c>
      <c r="C201" s="4" t="s">
        <v>225</v>
      </c>
      <c r="D201" s="9" t="s">
        <v>441</v>
      </c>
      <c r="E201" s="5" t="s">
        <v>221</v>
      </c>
      <c r="F201" s="6">
        <v>339</v>
      </c>
      <c r="G201" s="6">
        <v>1763</v>
      </c>
      <c r="H201" s="6">
        <v>950</v>
      </c>
      <c r="I201" s="6">
        <v>813</v>
      </c>
      <c r="J201" s="17">
        <f t="shared" si="9"/>
        <v>855.78947368421052</v>
      </c>
      <c r="K201" s="6">
        <v>371</v>
      </c>
      <c r="L201" s="6">
        <v>204</v>
      </c>
      <c r="M201" s="6">
        <v>167</v>
      </c>
      <c r="N201" s="7">
        <f t="shared" si="10"/>
        <v>21.0436755530346</v>
      </c>
      <c r="O201" s="6">
        <v>1088</v>
      </c>
      <c r="P201" s="6">
        <v>643</v>
      </c>
      <c r="Q201" s="6">
        <v>445</v>
      </c>
      <c r="R201" s="7">
        <v>70.284237726098183</v>
      </c>
      <c r="S201" s="7">
        <v>77.563329312424614</v>
      </c>
      <c r="T201" s="7">
        <v>61.891515994436716</v>
      </c>
      <c r="U201" s="15">
        <f t="shared" si="11"/>
        <v>2</v>
      </c>
    </row>
    <row r="202" spans="1:21" ht="18.75" customHeight="1">
      <c r="A202" s="16">
        <v>206</v>
      </c>
      <c r="B202" s="3">
        <v>6</v>
      </c>
      <c r="C202" s="4" t="s">
        <v>226</v>
      </c>
      <c r="D202" s="9" t="s">
        <v>441</v>
      </c>
      <c r="E202" s="5" t="s">
        <v>221</v>
      </c>
      <c r="F202" s="6">
        <v>154</v>
      </c>
      <c r="G202" s="6">
        <v>838</v>
      </c>
      <c r="H202" s="6">
        <v>427</v>
      </c>
      <c r="I202" s="6">
        <v>411</v>
      </c>
      <c r="J202" s="17">
        <f t="shared" si="9"/>
        <v>962.52927400468377</v>
      </c>
      <c r="K202" s="6">
        <v>181</v>
      </c>
      <c r="L202" s="6">
        <v>98</v>
      </c>
      <c r="M202" s="6">
        <v>83</v>
      </c>
      <c r="N202" s="7">
        <f t="shared" si="10"/>
        <v>21.599045346062052</v>
      </c>
      <c r="O202" s="6">
        <v>610</v>
      </c>
      <c r="P202" s="6">
        <v>339</v>
      </c>
      <c r="Q202" s="6">
        <v>271</v>
      </c>
      <c r="R202" s="7">
        <v>82.210242587601073</v>
      </c>
      <c r="S202" s="7">
        <v>89.92042440318302</v>
      </c>
      <c r="T202" s="7">
        <v>74.246575342465746</v>
      </c>
      <c r="U202" s="15">
        <f t="shared" si="11"/>
        <v>1</v>
      </c>
    </row>
    <row r="203" spans="1:21" ht="18.75" customHeight="1">
      <c r="A203" s="16">
        <v>207</v>
      </c>
      <c r="B203" s="3">
        <v>7</v>
      </c>
      <c r="C203" s="4" t="s">
        <v>227</v>
      </c>
      <c r="D203" s="9" t="s">
        <v>441</v>
      </c>
      <c r="E203" s="5" t="s">
        <v>221</v>
      </c>
      <c r="F203" s="6">
        <v>206</v>
      </c>
      <c r="G203" s="6">
        <v>1063</v>
      </c>
      <c r="H203" s="6">
        <v>568</v>
      </c>
      <c r="I203" s="6">
        <v>495</v>
      </c>
      <c r="J203" s="17">
        <f t="shared" si="9"/>
        <v>871.47887323943667</v>
      </c>
      <c r="K203" s="6">
        <v>175</v>
      </c>
      <c r="L203" s="6">
        <v>102</v>
      </c>
      <c r="M203" s="6">
        <v>73</v>
      </c>
      <c r="N203" s="7">
        <f t="shared" si="10"/>
        <v>16.462841015992474</v>
      </c>
      <c r="O203" s="6">
        <v>762</v>
      </c>
      <c r="P203" s="6">
        <v>446</v>
      </c>
      <c r="Q203" s="6">
        <v>316</v>
      </c>
      <c r="R203" s="7">
        <v>80.295047418335088</v>
      </c>
      <c r="S203" s="7">
        <v>88.66799204771371</v>
      </c>
      <c r="T203" s="7">
        <v>70.852017937219742</v>
      </c>
      <c r="U203" s="15">
        <f t="shared" si="11"/>
        <v>2</v>
      </c>
    </row>
    <row r="204" spans="1:21" ht="18.75" customHeight="1">
      <c r="A204" s="16">
        <v>208</v>
      </c>
      <c r="B204" s="3">
        <v>8</v>
      </c>
      <c r="C204" s="4" t="s">
        <v>228</v>
      </c>
      <c r="D204" s="9" t="s">
        <v>441</v>
      </c>
      <c r="E204" s="5" t="s">
        <v>221</v>
      </c>
      <c r="F204" s="6">
        <v>212</v>
      </c>
      <c r="G204" s="6">
        <v>1260</v>
      </c>
      <c r="H204" s="6">
        <v>671</v>
      </c>
      <c r="I204" s="6">
        <v>589</v>
      </c>
      <c r="J204" s="17">
        <f t="shared" si="9"/>
        <v>877.79433681073021</v>
      </c>
      <c r="K204" s="6">
        <v>52</v>
      </c>
      <c r="L204" s="6">
        <v>25</v>
      </c>
      <c r="M204" s="6">
        <v>27</v>
      </c>
      <c r="N204" s="7">
        <f t="shared" si="10"/>
        <v>4.1269841269841265</v>
      </c>
      <c r="O204" s="6">
        <v>820</v>
      </c>
      <c r="P204" s="6">
        <v>467</v>
      </c>
      <c r="Q204" s="6">
        <v>353</v>
      </c>
      <c r="R204" s="7">
        <v>73.940486925157799</v>
      </c>
      <c r="S204" s="7">
        <v>78.752107925801013</v>
      </c>
      <c r="T204" s="7">
        <v>68.410852713178301</v>
      </c>
      <c r="U204" s="15">
        <f t="shared" si="11"/>
        <v>2</v>
      </c>
    </row>
    <row r="205" spans="1:21" ht="18.75" customHeight="1">
      <c r="A205" s="16">
        <v>209</v>
      </c>
      <c r="B205" s="3">
        <v>9</v>
      </c>
      <c r="C205" s="4" t="s">
        <v>229</v>
      </c>
      <c r="D205" s="9" t="s">
        <v>441</v>
      </c>
      <c r="E205" s="5" t="s">
        <v>221</v>
      </c>
      <c r="F205" s="6">
        <v>384</v>
      </c>
      <c r="G205" s="6">
        <v>2176</v>
      </c>
      <c r="H205" s="6">
        <v>1126</v>
      </c>
      <c r="I205" s="6">
        <v>1050</v>
      </c>
      <c r="J205" s="17">
        <f t="shared" si="9"/>
        <v>932.50444049733574</v>
      </c>
      <c r="K205" s="6">
        <v>300</v>
      </c>
      <c r="L205" s="6">
        <v>159</v>
      </c>
      <c r="M205" s="6">
        <v>141</v>
      </c>
      <c r="N205" s="7">
        <f t="shared" si="10"/>
        <v>13.786764705882353</v>
      </c>
      <c r="O205" s="6">
        <v>1551</v>
      </c>
      <c r="P205" s="6">
        <v>891</v>
      </c>
      <c r="Q205" s="6">
        <v>660</v>
      </c>
      <c r="R205" s="7">
        <v>78.851042196237927</v>
      </c>
      <c r="S205" s="7">
        <v>88.480635551142001</v>
      </c>
      <c r="T205" s="7">
        <v>68.75</v>
      </c>
      <c r="U205" s="15">
        <f t="shared" si="11"/>
        <v>1</v>
      </c>
    </row>
    <row r="206" spans="1:21" ht="18.75" customHeight="1">
      <c r="A206" s="16">
        <v>210</v>
      </c>
      <c r="B206" s="3">
        <v>10</v>
      </c>
      <c r="C206" s="4" t="s">
        <v>230</v>
      </c>
      <c r="D206" s="9" t="s">
        <v>441</v>
      </c>
      <c r="E206" s="5" t="s">
        <v>221</v>
      </c>
      <c r="F206" s="6">
        <v>174</v>
      </c>
      <c r="G206" s="6">
        <v>939</v>
      </c>
      <c r="H206" s="6">
        <v>470</v>
      </c>
      <c r="I206" s="6">
        <v>469</v>
      </c>
      <c r="J206" s="17">
        <f t="shared" si="9"/>
        <v>997.872340425532</v>
      </c>
      <c r="K206" s="6">
        <v>158</v>
      </c>
      <c r="L206" s="6">
        <v>80</v>
      </c>
      <c r="M206" s="6">
        <v>78</v>
      </c>
      <c r="N206" s="7">
        <f t="shared" si="10"/>
        <v>16.826411075612356</v>
      </c>
      <c r="O206" s="6">
        <v>630</v>
      </c>
      <c r="P206" s="6">
        <v>349</v>
      </c>
      <c r="Q206" s="6">
        <v>281</v>
      </c>
      <c r="R206" s="7">
        <v>75.358851674641144</v>
      </c>
      <c r="S206" s="7">
        <v>82.505910165484636</v>
      </c>
      <c r="T206" s="7">
        <v>68.038740920096856</v>
      </c>
      <c r="U206" s="15">
        <f t="shared" si="11"/>
        <v>1</v>
      </c>
    </row>
    <row r="207" spans="1:21" ht="18.75" customHeight="1">
      <c r="A207" s="16">
        <v>211</v>
      </c>
      <c r="B207" s="3">
        <v>11</v>
      </c>
      <c r="C207" s="4" t="s">
        <v>231</v>
      </c>
      <c r="D207" s="9" t="s">
        <v>441</v>
      </c>
      <c r="E207" s="5" t="s">
        <v>221</v>
      </c>
      <c r="F207" s="6">
        <v>227</v>
      </c>
      <c r="G207" s="6">
        <v>1251</v>
      </c>
      <c r="H207" s="6">
        <v>649</v>
      </c>
      <c r="I207" s="6">
        <v>602</v>
      </c>
      <c r="J207" s="17">
        <f t="shared" si="9"/>
        <v>927.58089368258857</v>
      </c>
      <c r="K207" s="6">
        <v>262</v>
      </c>
      <c r="L207" s="6">
        <v>144</v>
      </c>
      <c r="M207" s="6">
        <v>118</v>
      </c>
      <c r="N207" s="7">
        <f t="shared" si="10"/>
        <v>20.943245403677057</v>
      </c>
      <c r="O207" s="6">
        <v>864</v>
      </c>
      <c r="P207" s="6">
        <v>477</v>
      </c>
      <c r="Q207" s="6">
        <v>387</v>
      </c>
      <c r="R207" s="7">
        <v>80.44692737430168</v>
      </c>
      <c r="S207" s="7">
        <v>86.41304347826086</v>
      </c>
      <c r="T207" s="7">
        <v>74.137931034482762</v>
      </c>
      <c r="U207" s="15">
        <f t="shared" si="11"/>
        <v>1</v>
      </c>
    </row>
    <row r="208" spans="1:21" ht="18.75" customHeight="1">
      <c r="A208" s="16">
        <v>212</v>
      </c>
      <c r="B208" s="3">
        <v>12</v>
      </c>
      <c r="C208" s="4" t="s">
        <v>232</v>
      </c>
      <c r="D208" s="9" t="s">
        <v>441</v>
      </c>
      <c r="E208" s="5" t="s">
        <v>221</v>
      </c>
      <c r="F208" s="6">
        <v>275</v>
      </c>
      <c r="G208" s="6">
        <v>1500</v>
      </c>
      <c r="H208" s="6">
        <v>810</v>
      </c>
      <c r="I208" s="6">
        <v>690</v>
      </c>
      <c r="J208" s="17">
        <f t="shared" si="9"/>
        <v>851.85185185185185</v>
      </c>
      <c r="K208" s="6">
        <v>236</v>
      </c>
      <c r="L208" s="6">
        <v>126</v>
      </c>
      <c r="M208" s="6">
        <v>110</v>
      </c>
      <c r="N208" s="7">
        <f t="shared" si="10"/>
        <v>15.733333333333333</v>
      </c>
      <c r="O208" s="6">
        <v>1050</v>
      </c>
      <c r="P208" s="6">
        <v>617</v>
      </c>
      <c r="Q208" s="6">
        <v>433</v>
      </c>
      <c r="R208" s="7">
        <v>78.769692423105781</v>
      </c>
      <c r="S208" s="7">
        <v>86.414565826330531</v>
      </c>
      <c r="T208" s="7">
        <v>69.951534733441036</v>
      </c>
      <c r="U208" s="15">
        <f t="shared" si="11"/>
        <v>2</v>
      </c>
    </row>
    <row r="209" spans="1:21" ht="18.75" customHeight="1">
      <c r="A209" s="16">
        <v>213</v>
      </c>
      <c r="B209" s="3">
        <v>13</v>
      </c>
      <c r="C209" s="4" t="s">
        <v>233</v>
      </c>
      <c r="D209" s="9" t="s">
        <v>441</v>
      </c>
      <c r="E209" s="5" t="s">
        <v>221</v>
      </c>
      <c r="F209" s="6">
        <v>347</v>
      </c>
      <c r="G209" s="6">
        <v>1802</v>
      </c>
      <c r="H209" s="6">
        <v>968</v>
      </c>
      <c r="I209" s="6">
        <v>834</v>
      </c>
      <c r="J209" s="17">
        <f t="shared" si="9"/>
        <v>861.57024793388427</v>
      </c>
      <c r="K209" s="6">
        <v>266</v>
      </c>
      <c r="L209" s="6">
        <v>140</v>
      </c>
      <c r="M209" s="6">
        <v>126</v>
      </c>
      <c r="N209" s="7">
        <f t="shared" si="10"/>
        <v>14.761376248612654</v>
      </c>
      <c r="O209" s="6">
        <v>1146</v>
      </c>
      <c r="P209" s="6">
        <v>675</v>
      </c>
      <c r="Q209" s="6">
        <v>471</v>
      </c>
      <c r="R209" s="7">
        <v>72.030169704588303</v>
      </c>
      <c r="S209" s="7">
        <v>78.94736842105263</v>
      </c>
      <c r="T209" s="7">
        <v>63.994565217391312</v>
      </c>
      <c r="U209" s="15">
        <f t="shared" si="11"/>
        <v>2</v>
      </c>
    </row>
    <row r="210" spans="1:21" ht="18.75" customHeight="1">
      <c r="A210" s="16">
        <v>214</v>
      </c>
      <c r="B210" s="3">
        <v>14</v>
      </c>
      <c r="C210" s="4" t="s">
        <v>234</v>
      </c>
      <c r="D210" s="9" t="s">
        <v>441</v>
      </c>
      <c r="E210" s="5" t="s">
        <v>221</v>
      </c>
      <c r="F210" s="6">
        <v>200</v>
      </c>
      <c r="G210" s="6">
        <v>1090</v>
      </c>
      <c r="H210" s="6">
        <v>585</v>
      </c>
      <c r="I210" s="6">
        <v>505</v>
      </c>
      <c r="J210" s="17">
        <f t="shared" si="9"/>
        <v>863.24786324786328</v>
      </c>
      <c r="K210" s="6">
        <v>128</v>
      </c>
      <c r="L210" s="6">
        <v>69</v>
      </c>
      <c r="M210" s="6">
        <v>59</v>
      </c>
      <c r="N210" s="7">
        <f t="shared" si="10"/>
        <v>11.743119266055047</v>
      </c>
      <c r="O210" s="6">
        <v>754</v>
      </c>
      <c r="P210" s="6">
        <v>430</v>
      </c>
      <c r="Q210" s="6">
        <v>324</v>
      </c>
      <c r="R210" s="7">
        <v>77.333333333333329</v>
      </c>
      <c r="S210" s="7">
        <v>84.313725490196077</v>
      </c>
      <c r="T210" s="7">
        <v>69.677419354838705</v>
      </c>
      <c r="U210" s="15">
        <f t="shared" si="11"/>
        <v>2</v>
      </c>
    </row>
    <row r="211" spans="1:21" ht="18.75" customHeight="1">
      <c r="A211" s="16">
        <v>215</v>
      </c>
      <c r="B211" s="3">
        <v>15</v>
      </c>
      <c r="C211" s="4" t="s">
        <v>235</v>
      </c>
      <c r="D211" s="9" t="s">
        <v>441</v>
      </c>
      <c r="E211" s="5" t="s">
        <v>221</v>
      </c>
      <c r="F211" s="6">
        <v>169</v>
      </c>
      <c r="G211" s="6">
        <v>964</v>
      </c>
      <c r="H211" s="6">
        <v>509</v>
      </c>
      <c r="I211" s="6">
        <v>455</v>
      </c>
      <c r="J211" s="17">
        <f t="shared" si="9"/>
        <v>893.90962671905697</v>
      </c>
      <c r="K211" s="6">
        <v>141</v>
      </c>
      <c r="L211" s="6">
        <v>72</v>
      </c>
      <c r="M211" s="6">
        <v>69</v>
      </c>
      <c r="N211" s="7">
        <f t="shared" si="10"/>
        <v>14.626556016597512</v>
      </c>
      <c r="O211" s="6">
        <v>629</v>
      </c>
      <c r="P211" s="6">
        <v>370</v>
      </c>
      <c r="Q211" s="6">
        <v>259</v>
      </c>
      <c r="R211" s="7">
        <v>74.703087885985752</v>
      </c>
      <c r="S211" s="7">
        <v>84.474885844748854</v>
      </c>
      <c r="T211" s="7">
        <v>64.10891089108911</v>
      </c>
      <c r="U211" s="15">
        <f t="shared" si="11"/>
        <v>2</v>
      </c>
    </row>
    <row r="212" spans="1:21" ht="18.75" customHeight="1">
      <c r="A212" s="16">
        <v>216</v>
      </c>
      <c r="B212" s="3">
        <v>16</v>
      </c>
      <c r="C212" s="4" t="s">
        <v>236</v>
      </c>
      <c r="D212" s="9" t="s">
        <v>441</v>
      </c>
      <c r="E212" s="5" t="s">
        <v>221</v>
      </c>
      <c r="F212" s="6">
        <v>67</v>
      </c>
      <c r="G212" s="6">
        <v>392</v>
      </c>
      <c r="H212" s="6">
        <v>220</v>
      </c>
      <c r="I212" s="6">
        <v>172</v>
      </c>
      <c r="J212" s="17">
        <f t="shared" si="9"/>
        <v>781.81818181818187</v>
      </c>
      <c r="K212" s="6">
        <v>62</v>
      </c>
      <c r="L212" s="6">
        <v>33</v>
      </c>
      <c r="M212" s="6">
        <v>29</v>
      </c>
      <c r="N212" s="7">
        <f t="shared" si="10"/>
        <v>15.816326530612246</v>
      </c>
      <c r="O212" s="6">
        <v>279</v>
      </c>
      <c r="P212" s="6">
        <v>167</v>
      </c>
      <c r="Q212" s="6">
        <v>112</v>
      </c>
      <c r="R212" s="7">
        <v>79.714285714285722</v>
      </c>
      <c r="S212" s="7">
        <v>86.52849740932642</v>
      </c>
      <c r="T212" s="7">
        <v>71.337579617834393</v>
      </c>
      <c r="U212" s="15">
        <f t="shared" si="11"/>
        <v>3</v>
      </c>
    </row>
    <row r="213" spans="1:21" ht="18.75" customHeight="1">
      <c r="A213" s="16">
        <v>217</v>
      </c>
      <c r="B213" s="3">
        <v>17</v>
      </c>
      <c r="C213" s="4" t="s">
        <v>237</v>
      </c>
      <c r="D213" s="9" t="s">
        <v>441</v>
      </c>
      <c r="E213" s="5" t="s">
        <v>221</v>
      </c>
      <c r="F213" s="6">
        <v>197</v>
      </c>
      <c r="G213" s="6">
        <v>1122</v>
      </c>
      <c r="H213" s="6">
        <v>590</v>
      </c>
      <c r="I213" s="6">
        <v>532</v>
      </c>
      <c r="J213" s="17">
        <f t="shared" si="9"/>
        <v>901.69491525423723</v>
      </c>
      <c r="K213" s="6">
        <v>83</v>
      </c>
      <c r="L213" s="6">
        <v>47</v>
      </c>
      <c r="M213" s="6">
        <v>36</v>
      </c>
      <c r="N213" s="7">
        <f t="shared" si="10"/>
        <v>7.3975044563279857</v>
      </c>
      <c r="O213" s="6">
        <v>785</v>
      </c>
      <c r="P213" s="6">
        <v>457</v>
      </c>
      <c r="Q213" s="6">
        <v>328</v>
      </c>
      <c r="R213" s="7">
        <v>76.66015625</v>
      </c>
      <c r="S213" s="7">
        <v>85.420560747663558</v>
      </c>
      <c r="T213" s="7">
        <v>67.075664621676893</v>
      </c>
      <c r="U213" s="15">
        <f t="shared" si="11"/>
        <v>1</v>
      </c>
    </row>
    <row r="214" spans="1:21" ht="18.75" customHeight="1">
      <c r="A214" s="16">
        <v>218</v>
      </c>
      <c r="B214" s="3">
        <v>18</v>
      </c>
      <c r="C214" s="4" t="s">
        <v>238</v>
      </c>
      <c r="D214" s="9" t="s">
        <v>441</v>
      </c>
      <c r="E214" s="5" t="s">
        <v>221</v>
      </c>
      <c r="F214" s="6">
        <v>81</v>
      </c>
      <c r="G214" s="6">
        <v>431</v>
      </c>
      <c r="H214" s="6">
        <v>218</v>
      </c>
      <c r="I214" s="6">
        <v>213</v>
      </c>
      <c r="J214" s="17">
        <f t="shared" si="9"/>
        <v>977.06422018348621</v>
      </c>
      <c r="K214" s="6">
        <v>32</v>
      </c>
      <c r="L214" s="6">
        <v>15</v>
      </c>
      <c r="M214" s="6">
        <v>17</v>
      </c>
      <c r="N214" s="7">
        <f t="shared" si="10"/>
        <v>7.4245939675174011</v>
      </c>
      <c r="O214" s="6">
        <v>251</v>
      </c>
      <c r="P214" s="6">
        <v>138</v>
      </c>
      <c r="Q214" s="6">
        <v>113</v>
      </c>
      <c r="R214" s="7">
        <v>67.473118279569889</v>
      </c>
      <c r="S214" s="7">
        <v>71.134020618556704</v>
      </c>
      <c r="T214" s="7">
        <v>63.483146067415731</v>
      </c>
      <c r="U214" s="15">
        <f t="shared" si="11"/>
        <v>1</v>
      </c>
    </row>
    <row r="215" spans="1:21" ht="18.75" customHeight="1">
      <c r="A215" s="16">
        <v>219</v>
      </c>
      <c r="B215" s="3">
        <v>19</v>
      </c>
      <c r="C215" s="4" t="s">
        <v>239</v>
      </c>
      <c r="D215" s="9" t="s">
        <v>441</v>
      </c>
      <c r="E215" s="5" t="s">
        <v>221</v>
      </c>
      <c r="F215" s="6">
        <v>327</v>
      </c>
      <c r="G215" s="6">
        <v>1625</v>
      </c>
      <c r="H215" s="6">
        <v>862</v>
      </c>
      <c r="I215" s="6">
        <v>763</v>
      </c>
      <c r="J215" s="17">
        <f t="shared" si="9"/>
        <v>885.15081206496518</v>
      </c>
      <c r="K215" s="6">
        <v>547</v>
      </c>
      <c r="L215" s="6">
        <v>284</v>
      </c>
      <c r="M215" s="6">
        <v>263</v>
      </c>
      <c r="N215" s="7">
        <f t="shared" si="10"/>
        <v>33.661538461538463</v>
      </c>
      <c r="O215" s="6">
        <v>1046</v>
      </c>
      <c r="P215" s="6">
        <v>632</v>
      </c>
      <c r="Q215" s="6">
        <v>414</v>
      </c>
      <c r="R215" s="7">
        <v>72.739916550764946</v>
      </c>
      <c r="S215" s="7">
        <v>83.04862023653088</v>
      </c>
      <c r="T215" s="7">
        <v>61.152141802067952</v>
      </c>
      <c r="U215" s="15">
        <f t="shared" si="11"/>
        <v>2</v>
      </c>
    </row>
    <row r="216" spans="1:21" ht="18.75" customHeight="1">
      <c r="A216" s="16">
        <v>220</v>
      </c>
      <c r="B216" s="3">
        <v>20</v>
      </c>
      <c r="C216" s="4" t="s">
        <v>240</v>
      </c>
      <c r="D216" s="9" t="s">
        <v>441</v>
      </c>
      <c r="E216" s="5" t="s">
        <v>221</v>
      </c>
      <c r="F216" s="6">
        <v>244</v>
      </c>
      <c r="G216" s="6">
        <v>1445</v>
      </c>
      <c r="H216" s="6">
        <v>725</v>
      </c>
      <c r="I216" s="6">
        <v>720</v>
      </c>
      <c r="J216" s="17">
        <f t="shared" si="9"/>
        <v>993.10344827586209</v>
      </c>
      <c r="K216" s="6">
        <v>341</v>
      </c>
      <c r="L216" s="6">
        <v>163</v>
      </c>
      <c r="M216" s="6">
        <v>178</v>
      </c>
      <c r="N216" s="7">
        <f t="shared" si="10"/>
        <v>23.598615916955019</v>
      </c>
      <c r="O216" s="6">
        <v>965</v>
      </c>
      <c r="P216" s="6">
        <v>519</v>
      </c>
      <c r="Q216" s="6">
        <v>446</v>
      </c>
      <c r="R216" s="7">
        <v>74.864235841737781</v>
      </c>
      <c r="S216" s="7">
        <v>82.643312101910823</v>
      </c>
      <c r="T216" s="7">
        <v>67.473524962178516</v>
      </c>
      <c r="U216" s="15">
        <f t="shared" si="11"/>
        <v>1</v>
      </c>
    </row>
    <row r="217" spans="1:21" ht="18.75" customHeight="1">
      <c r="A217" s="16">
        <v>221</v>
      </c>
      <c r="B217" s="3">
        <v>21</v>
      </c>
      <c r="C217" s="4" t="s">
        <v>241</v>
      </c>
      <c r="D217" s="9" t="s">
        <v>441</v>
      </c>
      <c r="E217" s="5" t="s">
        <v>221</v>
      </c>
      <c r="F217" s="6">
        <v>290</v>
      </c>
      <c r="G217" s="6">
        <v>1543</v>
      </c>
      <c r="H217" s="6">
        <v>802</v>
      </c>
      <c r="I217" s="6">
        <v>741</v>
      </c>
      <c r="J217" s="17">
        <f t="shared" si="9"/>
        <v>923.94014962593519</v>
      </c>
      <c r="K217" s="6">
        <v>424</v>
      </c>
      <c r="L217" s="6">
        <v>223</v>
      </c>
      <c r="M217" s="6">
        <v>201</v>
      </c>
      <c r="N217" s="7">
        <f t="shared" si="10"/>
        <v>27.478937135450423</v>
      </c>
      <c r="O217" s="6">
        <v>1046</v>
      </c>
      <c r="P217" s="6">
        <v>598</v>
      </c>
      <c r="Q217" s="6">
        <v>448</v>
      </c>
      <c r="R217" s="7">
        <v>76.96835908756438</v>
      </c>
      <c r="S217" s="7">
        <v>84.463276836158201</v>
      </c>
      <c r="T217" s="7">
        <v>68.817204301075279</v>
      </c>
      <c r="U217" s="15">
        <f t="shared" si="11"/>
        <v>1</v>
      </c>
    </row>
    <row r="218" spans="1:21" ht="18.75" customHeight="1">
      <c r="A218" s="16">
        <v>222</v>
      </c>
      <c r="B218" s="3">
        <v>22</v>
      </c>
      <c r="C218" s="4" t="s">
        <v>242</v>
      </c>
      <c r="D218" s="9" t="s">
        <v>441</v>
      </c>
      <c r="E218" s="5" t="s">
        <v>221</v>
      </c>
      <c r="F218" s="6">
        <v>193</v>
      </c>
      <c r="G218" s="6">
        <v>994</v>
      </c>
      <c r="H218" s="6">
        <v>510</v>
      </c>
      <c r="I218" s="6">
        <v>484</v>
      </c>
      <c r="J218" s="17">
        <f t="shared" si="9"/>
        <v>949.01960784313724</v>
      </c>
      <c r="K218" s="6">
        <v>239</v>
      </c>
      <c r="L218" s="6">
        <v>118</v>
      </c>
      <c r="M218" s="6">
        <v>121</v>
      </c>
      <c r="N218" s="7">
        <f t="shared" si="10"/>
        <v>24.044265593561367</v>
      </c>
      <c r="O218" s="6">
        <v>647</v>
      </c>
      <c r="P218" s="6">
        <v>377</v>
      </c>
      <c r="Q218" s="6">
        <v>270</v>
      </c>
      <c r="R218" s="7">
        <v>74.282433983926524</v>
      </c>
      <c r="S218" s="7">
        <v>83.407079646017706</v>
      </c>
      <c r="T218" s="7">
        <v>64.439140811455843</v>
      </c>
      <c r="U218" s="15">
        <f t="shared" si="11"/>
        <v>1</v>
      </c>
    </row>
    <row r="219" spans="1:21" ht="18.75" customHeight="1">
      <c r="A219" s="16">
        <v>223</v>
      </c>
      <c r="B219" s="3">
        <v>23</v>
      </c>
      <c r="C219" s="4" t="s">
        <v>243</v>
      </c>
      <c r="D219" s="9" t="s">
        <v>441</v>
      </c>
      <c r="E219" s="5" t="s">
        <v>221</v>
      </c>
      <c r="F219" s="6">
        <v>336</v>
      </c>
      <c r="G219" s="6">
        <v>1875</v>
      </c>
      <c r="H219" s="6">
        <v>1008</v>
      </c>
      <c r="I219" s="6">
        <v>867</v>
      </c>
      <c r="J219" s="17">
        <f t="shared" si="9"/>
        <v>860.11904761904771</v>
      </c>
      <c r="K219" s="6">
        <v>345</v>
      </c>
      <c r="L219" s="6">
        <v>193</v>
      </c>
      <c r="M219" s="6">
        <v>152</v>
      </c>
      <c r="N219" s="7">
        <f t="shared" si="10"/>
        <v>18.399999999999999</v>
      </c>
      <c r="O219" s="6">
        <v>1278</v>
      </c>
      <c r="P219" s="6">
        <v>738</v>
      </c>
      <c r="Q219" s="6">
        <v>540</v>
      </c>
      <c r="R219" s="7">
        <v>77.080820265379984</v>
      </c>
      <c r="S219" s="7">
        <v>84.246575342465761</v>
      </c>
      <c r="T219" s="7">
        <v>69.053708439897704</v>
      </c>
      <c r="U219" s="15">
        <f t="shared" si="11"/>
        <v>2</v>
      </c>
    </row>
    <row r="220" spans="1:21" ht="18.75" customHeight="1">
      <c r="A220" s="16">
        <v>224</v>
      </c>
      <c r="B220" s="3">
        <v>24</v>
      </c>
      <c r="C220" s="4" t="s">
        <v>244</v>
      </c>
      <c r="D220" s="9" t="s">
        <v>441</v>
      </c>
      <c r="E220" s="5" t="s">
        <v>221</v>
      </c>
      <c r="F220" s="6">
        <v>178</v>
      </c>
      <c r="G220" s="6">
        <v>976</v>
      </c>
      <c r="H220" s="6">
        <v>497</v>
      </c>
      <c r="I220" s="6">
        <v>479</v>
      </c>
      <c r="J220" s="17">
        <f t="shared" si="9"/>
        <v>963.78269617706235</v>
      </c>
      <c r="K220" s="6">
        <v>698</v>
      </c>
      <c r="L220" s="6">
        <v>365</v>
      </c>
      <c r="M220" s="6">
        <v>333</v>
      </c>
      <c r="N220" s="7">
        <f t="shared" si="10"/>
        <v>71.516393442622956</v>
      </c>
      <c r="O220" s="6">
        <v>566</v>
      </c>
      <c r="P220" s="6">
        <v>313</v>
      </c>
      <c r="Q220" s="6">
        <v>253</v>
      </c>
      <c r="R220" s="7">
        <v>66.903073286052006</v>
      </c>
      <c r="S220" s="7">
        <v>72.453703703703709</v>
      </c>
      <c r="T220" s="7">
        <v>61.111111111111114</v>
      </c>
      <c r="U220" s="15">
        <f t="shared" si="11"/>
        <v>1</v>
      </c>
    </row>
    <row r="221" spans="1:21" ht="18.75" customHeight="1">
      <c r="A221" s="16">
        <v>225</v>
      </c>
      <c r="B221" s="3">
        <v>25</v>
      </c>
      <c r="C221" s="4" t="s">
        <v>245</v>
      </c>
      <c r="D221" s="9" t="s">
        <v>441</v>
      </c>
      <c r="E221" s="5" t="s">
        <v>221</v>
      </c>
      <c r="F221" s="6">
        <v>18</v>
      </c>
      <c r="G221" s="6">
        <v>100</v>
      </c>
      <c r="H221" s="6">
        <v>51</v>
      </c>
      <c r="I221" s="6">
        <v>49</v>
      </c>
      <c r="J221" s="17">
        <f t="shared" si="9"/>
        <v>960.78431372549028</v>
      </c>
      <c r="K221" s="6">
        <v>0</v>
      </c>
      <c r="L221" s="6">
        <v>0</v>
      </c>
      <c r="M221" s="6">
        <v>0</v>
      </c>
      <c r="N221" s="7">
        <f t="shared" si="10"/>
        <v>0</v>
      </c>
      <c r="O221" s="6">
        <v>66</v>
      </c>
      <c r="P221" s="6">
        <v>36</v>
      </c>
      <c r="Q221" s="6">
        <v>30</v>
      </c>
      <c r="R221" s="7">
        <v>76.744186046511629</v>
      </c>
      <c r="S221" s="7">
        <v>81.818181818181827</v>
      </c>
      <c r="T221" s="7">
        <v>71.428571428571431</v>
      </c>
      <c r="U221" s="15">
        <f t="shared" si="11"/>
        <v>1</v>
      </c>
    </row>
    <row r="222" spans="1:21" ht="18.75" customHeight="1">
      <c r="A222" s="16">
        <v>226</v>
      </c>
      <c r="B222" s="3">
        <v>26</v>
      </c>
      <c r="C222" s="4" t="s">
        <v>246</v>
      </c>
      <c r="D222" s="9" t="s">
        <v>441</v>
      </c>
      <c r="E222" s="5" t="s">
        <v>221</v>
      </c>
      <c r="F222" s="6">
        <v>192</v>
      </c>
      <c r="G222" s="6">
        <v>1066</v>
      </c>
      <c r="H222" s="6">
        <v>551</v>
      </c>
      <c r="I222" s="6">
        <v>515</v>
      </c>
      <c r="J222" s="17">
        <f t="shared" si="9"/>
        <v>934.66424682395643</v>
      </c>
      <c r="K222" s="6">
        <v>292</v>
      </c>
      <c r="L222" s="6">
        <v>150</v>
      </c>
      <c r="M222" s="6">
        <v>142</v>
      </c>
      <c r="N222" s="7">
        <f t="shared" si="10"/>
        <v>27.392120075046904</v>
      </c>
      <c r="O222" s="6">
        <v>714</v>
      </c>
      <c r="P222" s="6">
        <v>409</v>
      </c>
      <c r="Q222" s="6">
        <v>305</v>
      </c>
      <c r="R222" s="7">
        <v>77.105831533477314</v>
      </c>
      <c r="S222" s="7">
        <v>85.031185031185032</v>
      </c>
      <c r="T222" s="7">
        <v>68.539325842696627</v>
      </c>
      <c r="U222" s="15">
        <f t="shared" si="11"/>
        <v>1</v>
      </c>
    </row>
    <row r="223" spans="1:21" ht="18.75" customHeight="1">
      <c r="A223" s="16">
        <v>227</v>
      </c>
      <c r="B223" s="3">
        <v>27</v>
      </c>
      <c r="C223" s="4" t="s">
        <v>247</v>
      </c>
      <c r="D223" s="9" t="s">
        <v>441</v>
      </c>
      <c r="E223" s="5" t="s">
        <v>221</v>
      </c>
      <c r="F223" s="6">
        <v>184</v>
      </c>
      <c r="G223" s="6">
        <v>1069</v>
      </c>
      <c r="H223" s="6">
        <v>570</v>
      </c>
      <c r="I223" s="6">
        <v>499</v>
      </c>
      <c r="J223" s="17">
        <f t="shared" si="9"/>
        <v>875.43859649122805</v>
      </c>
      <c r="K223" s="6">
        <v>196</v>
      </c>
      <c r="L223" s="6">
        <v>96</v>
      </c>
      <c r="M223" s="6">
        <v>100</v>
      </c>
      <c r="N223" s="7">
        <f t="shared" si="10"/>
        <v>18.334892422825071</v>
      </c>
      <c r="O223" s="6">
        <v>751</v>
      </c>
      <c r="P223" s="6">
        <v>432</v>
      </c>
      <c r="Q223" s="6">
        <v>319</v>
      </c>
      <c r="R223" s="7">
        <v>80.752688172043008</v>
      </c>
      <c r="S223" s="7">
        <v>89.072164948453619</v>
      </c>
      <c r="T223" s="7">
        <v>71.68539325842697</v>
      </c>
      <c r="U223" s="15">
        <f t="shared" si="11"/>
        <v>2</v>
      </c>
    </row>
    <row r="224" spans="1:21" ht="18.75" customHeight="1">
      <c r="A224" s="16">
        <v>228</v>
      </c>
      <c r="B224" s="3">
        <v>28</v>
      </c>
      <c r="C224" s="4" t="s">
        <v>248</v>
      </c>
      <c r="D224" s="9" t="s">
        <v>441</v>
      </c>
      <c r="E224" s="5" t="s">
        <v>221</v>
      </c>
      <c r="F224" s="6">
        <v>83</v>
      </c>
      <c r="G224" s="6">
        <v>441</v>
      </c>
      <c r="H224" s="6">
        <v>240</v>
      </c>
      <c r="I224" s="6">
        <v>201</v>
      </c>
      <c r="J224" s="17">
        <f t="shared" si="9"/>
        <v>837.5</v>
      </c>
      <c r="K224" s="6">
        <v>0</v>
      </c>
      <c r="L224" s="6">
        <v>0</v>
      </c>
      <c r="M224" s="6">
        <v>0</v>
      </c>
      <c r="N224" s="7">
        <f t="shared" si="10"/>
        <v>0</v>
      </c>
      <c r="O224" s="6">
        <v>309</v>
      </c>
      <c r="P224" s="6">
        <v>184</v>
      </c>
      <c r="Q224" s="6">
        <v>125</v>
      </c>
      <c r="R224" s="7">
        <v>77.057356608478798</v>
      </c>
      <c r="S224" s="7">
        <v>85.981308411214954</v>
      </c>
      <c r="T224" s="7">
        <v>66.844919786096256</v>
      </c>
      <c r="U224" s="15">
        <f t="shared" si="11"/>
        <v>2</v>
      </c>
    </row>
    <row r="225" spans="1:21" ht="18.75" customHeight="1">
      <c r="A225" s="16">
        <v>229</v>
      </c>
      <c r="B225" s="3">
        <v>29</v>
      </c>
      <c r="C225" s="4" t="s">
        <v>249</v>
      </c>
      <c r="D225" s="9" t="s">
        <v>441</v>
      </c>
      <c r="E225" s="5" t="s">
        <v>221</v>
      </c>
      <c r="F225" s="6">
        <v>285</v>
      </c>
      <c r="G225" s="6">
        <v>1463</v>
      </c>
      <c r="H225" s="6">
        <v>747</v>
      </c>
      <c r="I225" s="6">
        <v>716</v>
      </c>
      <c r="J225" s="17">
        <f t="shared" si="9"/>
        <v>958.50066934404288</v>
      </c>
      <c r="K225" s="6">
        <v>380</v>
      </c>
      <c r="L225" s="6">
        <v>201</v>
      </c>
      <c r="M225" s="6">
        <v>179</v>
      </c>
      <c r="N225" s="7">
        <f t="shared" si="10"/>
        <v>25.97402597402597</v>
      </c>
      <c r="O225" s="6">
        <v>982</v>
      </c>
      <c r="P225" s="6">
        <v>536</v>
      </c>
      <c r="Q225" s="6">
        <v>446</v>
      </c>
      <c r="R225" s="7">
        <v>76.778733385457386</v>
      </c>
      <c r="S225" s="7">
        <v>82.08269525267994</v>
      </c>
      <c r="T225" s="7">
        <v>71.246006389776369</v>
      </c>
      <c r="U225" s="15">
        <f t="shared" si="11"/>
        <v>1</v>
      </c>
    </row>
    <row r="226" spans="1:21" ht="18.75" customHeight="1">
      <c r="A226" s="16">
        <v>230</v>
      </c>
      <c r="B226" s="3">
        <v>30</v>
      </c>
      <c r="C226" s="4" t="s">
        <v>250</v>
      </c>
      <c r="D226" s="9" t="s">
        <v>441</v>
      </c>
      <c r="E226" s="5" t="s">
        <v>221</v>
      </c>
      <c r="F226" s="6">
        <v>175</v>
      </c>
      <c r="G226" s="6">
        <v>914</v>
      </c>
      <c r="H226" s="6">
        <v>450</v>
      </c>
      <c r="I226" s="6">
        <v>464</v>
      </c>
      <c r="J226" s="17">
        <f t="shared" si="9"/>
        <v>1031.1111111111111</v>
      </c>
      <c r="K226" s="6">
        <v>365</v>
      </c>
      <c r="L226" s="6">
        <v>176</v>
      </c>
      <c r="M226" s="6">
        <v>189</v>
      </c>
      <c r="N226" s="7">
        <f t="shared" si="10"/>
        <v>39.934354485776808</v>
      </c>
      <c r="O226" s="6">
        <v>590</v>
      </c>
      <c r="P226" s="6">
        <v>324</v>
      </c>
      <c r="Q226" s="6">
        <v>266</v>
      </c>
      <c r="R226" s="7">
        <v>74.683544303797461</v>
      </c>
      <c r="S226" s="7">
        <v>84.816753926701566</v>
      </c>
      <c r="T226" s="7">
        <v>65.196078431372555</v>
      </c>
      <c r="U226" s="15">
        <f t="shared" si="11"/>
        <v>1</v>
      </c>
    </row>
    <row r="227" spans="1:21" ht="18.75" customHeight="1">
      <c r="A227" s="16">
        <v>231</v>
      </c>
      <c r="B227" s="3">
        <v>31</v>
      </c>
      <c r="C227" s="4" t="s">
        <v>251</v>
      </c>
      <c r="D227" s="9" t="s">
        <v>441</v>
      </c>
      <c r="E227" s="5" t="s">
        <v>221</v>
      </c>
      <c r="F227" s="6">
        <v>99</v>
      </c>
      <c r="G227" s="6">
        <v>460</v>
      </c>
      <c r="H227" s="6">
        <v>253</v>
      </c>
      <c r="I227" s="6">
        <v>207</v>
      </c>
      <c r="J227" s="17">
        <f t="shared" si="9"/>
        <v>818.18181818181824</v>
      </c>
      <c r="K227" s="6">
        <v>29</v>
      </c>
      <c r="L227" s="6">
        <v>16</v>
      </c>
      <c r="M227" s="6">
        <v>13</v>
      </c>
      <c r="N227" s="7">
        <f t="shared" si="10"/>
        <v>6.3043478260869561</v>
      </c>
      <c r="O227" s="6">
        <v>315</v>
      </c>
      <c r="P227" s="6">
        <v>181</v>
      </c>
      <c r="Q227" s="6">
        <v>134</v>
      </c>
      <c r="R227" s="7">
        <v>78.16377171215882</v>
      </c>
      <c r="S227" s="7">
        <v>84.976525821596255</v>
      </c>
      <c r="T227" s="7">
        <v>70.526315789473685</v>
      </c>
      <c r="U227" s="15">
        <f t="shared" si="11"/>
        <v>2</v>
      </c>
    </row>
    <row r="228" spans="1:21" ht="18.75" customHeight="1">
      <c r="A228" s="16">
        <v>232</v>
      </c>
      <c r="B228" s="3">
        <v>32</v>
      </c>
      <c r="C228" s="4" t="s">
        <v>252</v>
      </c>
      <c r="D228" s="9" t="s">
        <v>441</v>
      </c>
      <c r="E228" s="5" t="s">
        <v>221</v>
      </c>
      <c r="F228" s="6">
        <v>118</v>
      </c>
      <c r="G228" s="6">
        <v>578</v>
      </c>
      <c r="H228" s="6">
        <v>301</v>
      </c>
      <c r="I228" s="6">
        <v>277</v>
      </c>
      <c r="J228" s="17">
        <f t="shared" si="9"/>
        <v>920.26578073089706</v>
      </c>
      <c r="K228" s="6">
        <v>354</v>
      </c>
      <c r="L228" s="6">
        <v>180</v>
      </c>
      <c r="M228" s="6">
        <v>174</v>
      </c>
      <c r="N228" s="7">
        <f t="shared" si="10"/>
        <v>61.245674740484425</v>
      </c>
      <c r="O228" s="6">
        <v>367</v>
      </c>
      <c r="P228" s="6">
        <v>194</v>
      </c>
      <c r="Q228" s="6">
        <v>173</v>
      </c>
      <c r="R228" s="7">
        <v>72.102161100196454</v>
      </c>
      <c r="S228" s="7">
        <v>74.329501915708818</v>
      </c>
      <c r="T228" s="7">
        <v>69.758064516129039</v>
      </c>
      <c r="U228" s="15">
        <f t="shared" si="11"/>
        <v>1</v>
      </c>
    </row>
    <row r="229" spans="1:21" ht="18.75" customHeight="1">
      <c r="A229" s="16">
        <v>233</v>
      </c>
      <c r="B229" s="3">
        <v>33</v>
      </c>
      <c r="C229" s="4" t="s">
        <v>253</v>
      </c>
      <c r="D229" s="9" t="s">
        <v>441</v>
      </c>
      <c r="E229" s="5" t="s">
        <v>221</v>
      </c>
      <c r="F229" s="6">
        <v>509</v>
      </c>
      <c r="G229" s="6">
        <v>2727</v>
      </c>
      <c r="H229" s="6">
        <v>1452</v>
      </c>
      <c r="I229" s="6">
        <v>1275</v>
      </c>
      <c r="J229" s="17">
        <f t="shared" si="9"/>
        <v>878.09917355371897</v>
      </c>
      <c r="K229" s="6">
        <v>561</v>
      </c>
      <c r="L229" s="6">
        <v>297</v>
      </c>
      <c r="M229" s="6">
        <v>264</v>
      </c>
      <c r="N229" s="7">
        <f t="shared" si="10"/>
        <v>20.572057205720572</v>
      </c>
      <c r="O229" s="6">
        <v>1821</v>
      </c>
      <c r="P229" s="6">
        <v>1040</v>
      </c>
      <c r="Q229" s="6">
        <v>781</v>
      </c>
      <c r="R229" s="7">
        <v>76.001669449081803</v>
      </c>
      <c r="S229" s="7">
        <v>82.148499210110586</v>
      </c>
      <c r="T229" s="7">
        <v>69.115044247787623</v>
      </c>
      <c r="U229" s="15">
        <f t="shared" si="11"/>
        <v>2</v>
      </c>
    </row>
    <row r="230" spans="1:21" ht="18.75" customHeight="1">
      <c r="A230" s="16">
        <v>234</v>
      </c>
      <c r="B230" s="3">
        <v>34</v>
      </c>
      <c r="C230" s="4" t="s">
        <v>254</v>
      </c>
      <c r="D230" s="9" t="s">
        <v>441</v>
      </c>
      <c r="E230" s="5" t="s">
        <v>221</v>
      </c>
      <c r="F230" s="6">
        <v>231</v>
      </c>
      <c r="G230" s="6">
        <v>1268</v>
      </c>
      <c r="H230" s="6">
        <v>675</v>
      </c>
      <c r="I230" s="6">
        <v>593</v>
      </c>
      <c r="J230" s="17">
        <f t="shared" si="9"/>
        <v>878.51851851851848</v>
      </c>
      <c r="K230" s="6">
        <v>175</v>
      </c>
      <c r="L230" s="6">
        <v>93</v>
      </c>
      <c r="M230" s="6">
        <v>82</v>
      </c>
      <c r="N230" s="7">
        <f t="shared" si="10"/>
        <v>13.801261829652997</v>
      </c>
      <c r="O230" s="6">
        <v>769</v>
      </c>
      <c r="P230" s="6">
        <v>452</v>
      </c>
      <c r="Q230" s="6">
        <v>317</v>
      </c>
      <c r="R230" s="7">
        <v>69.655797101449281</v>
      </c>
      <c r="S230" s="7">
        <v>77.001703577512785</v>
      </c>
      <c r="T230" s="7">
        <v>61.315280464216634</v>
      </c>
      <c r="U230" s="15">
        <f t="shared" si="11"/>
        <v>2</v>
      </c>
    </row>
    <row r="231" spans="1:21" ht="18.75" customHeight="1">
      <c r="A231" s="16">
        <v>235</v>
      </c>
      <c r="B231" s="3">
        <v>35</v>
      </c>
      <c r="C231" s="4" t="s">
        <v>255</v>
      </c>
      <c r="D231" s="9" t="s">
        <v>441</v>
      </c>
      <c r="E231" s="5" t="s">
        <v>221</v>
      </c>
      <c r="F231" s="6">
        <v>156</v>
      </c>
      <c r="G231" s="6">
        <v>885</v>
      </c>
      <c r="H231" s="6">
        <v>452</v>
      </c>
      <c r="I231" s="6">
        <v>433</v>
      </c>
      <c r="J231" s="17">
        <f t="shared" si="9"/>
        <v>957.9646017699115</v>
      </c>
      <c r="K231" s="6">
        <v>161</v>
      </c>
      <c r="L231" s="6">
        <v>80</v>
      </c>
      <c r="M231" s="6">
        <v>81</v>
      </c>
      <c r="N231" s="7">
        <f t="shared" si="10"/>
        <v>18.192090395480225</v>
      </c>
      <c r="O231" s="6">
        <v>549</v>
      </c>
      <c r="P231" s="6">
        <v>317</v>
      </c>
      <c r="Q231" s="6">
        <v>232</v>
      </c>
      <c r="R231" s="7">
        <v>72.811671087533156</v>
      </c>
      <c r="S231" s="7">
        <v>82.552083333333343</v>
      </c>
      <c r="T231" s="7">
        <v>62.702702702702709</v>
      </c>
      <c r="U231" s="15">
        <f t="shared" si="11"/>
        <v>1</v>
      </c>
    </row>
    <row r="232" spans="1:21" ht="18.75" customHeight="1">
      <c r="A232" s="16">
        <v>236</v>
      </c>
      <c r="B232" s="3">
        <v>36</v>
      </c>
      <c r="C232" s="4" t="s">
        <v>256</v>
      </c>
      <c r="D232" s="9" t="s">
        <v>441</v>
      </c>
      <c r="E232" s="5" t="s">
        <v>221</v>
      </c>
      <c r="F232" s="6">
        <v>190</v>
      </c>
      <c r="G232" s="6">
        <v>921</v>
      </c>
      <c r="H232" s="6">
        <v>470</v>
      </c>
      <c r="I232" s="6">
        <v>451</v>
      </c>
      <c r="J232" s="17">
        <f t="shared" si="9"/>
        <v>959.57446808510633</v>
      </c>
      <c r="K232" s="6">
        <v>35</v>
      </c>
      <c r="L232" s="6">
        <v>18</v>
      </c>
      <c r="M232" s="6">
        <v>17</v>
      </c>
      <c r="N232" s="7">
        <f t="shared" si="10"/>
        <v>3.8002171552660156</v>
      </c>
      <c r="O232" s="6">
        <v>608</v>
      </c>
      <c r="P232" s="6">
        <v>354</v>
      </c>
      <c r="Q232" s="6">
        <v>254</v>
      </c>
      <c r="R232" s="7">
        <v>75.621890547263675</v>
      </c>
      <c r="S232" s="7">
        <v>87.192118226600996</v>
      </c>
      <c r="T232" s="7">
        <v>63.819095477386931</v>
      </c>
      <c r="U232" s="15">
        <f t="shared" si="11"/>
        <v>1</v>
      </c>
    </row>
    <row r="233" spans="1:21" ht="18.75" customHeight="1">
      <c r="A233" s="16">
        <v>237</v>
      </c>
      <c r="B233" s="3">
        <v>37</v>
      </c>
      <c r="C233" s="4" t="s">
        <v>257</v>
      </c>
      <c r="D233" s="9" t="s">
        <v>441</v>
      </c>
      <c r="E233" s="5" t="s">
        <v>221</v>
      </c>
      <c r="F233" s="6">
        <v>203</v>
      </c>
      <c r="G233" s="6">
        <v>1086</v>
      </c>
      <c r="H233" s="6">
        <v>548</v>
      </c>
      <c r="I233" s="6">
        <v>538</v>
      </c>
      <c r="J233" s="17">
        <f t="shared" si="9"/>
        <v>981.75182481751824</v>
      </c>
      <c r="K233" s="6">
        <v>184</v>
      </c>
      <c r="L233" s="6">
        <v>96</v>
      </c>
      <c r="M233" s="6">
        <v>88</v>
      </c>
      <c r="N233" s="7">
        <f t="shared" si="10"/>
        <v>16.94290976058932</v>
      </c>
      <c r="O233" s="6">
        <v>714</v>
      </c>
      <c r="P233" s="6">
        <v>398</v>
      </c>
      <c r="Q233" s="6">
        <v>316</v>
      </c>
      <c r="R233" s="7">
        <v>73.608247422680421</v>
      </c>
      <c r="S233" s="7">
        <v>82.572614107883808</v>
      </c>
      <c r="T233" s="7">
        <v>64.754098360655746</v>
      </c>
      <c r="U233" s="15">
        <f t="shared" si="11"/>
        <v>1</v>
      </c>
    </row>
    <row r="234" spans="1:21" ht="18.75" customHeight="1">
      <c r="A234" s="16">
        <v>238</v>
      </c>
      <c r="B234" s="3">
        <v>38</v>
      </c>
      <c r="C234" s="4" t="s">
        <v>258</v>
      </c>
      <c r="D234" s="9" t="s">
        <v>441</v>
      </c>
      <c r="E234" s="5" t="s">
        <v>221</v>
      </c>
      <c r="F234" s="6">
        <v>87</v>
      </c>
      <c r="G234" s="6">
        <v>504</v>
      </c>
      <c r="H234" s="6">
        <v>278</v>
      </c>
      <c r="I234" s="6">
        <v>226</v>
      </c>
      <c r="J234" s="17">
        <f t="shared" si="9"/>
        <v>812.94964028776985</v>
      </c>
      <c r="K234" s="6">
        <v>0</v>
      </c>
      <c r="L234" s="6">
        <v>0</v>
      </c>
      <c r="M234" s="6">
        <v>0</v>
      </c>
      <c r="N234" s="7">
        <f t="shared" si="10"/>
        <v>0</v>
      </c>
      <c r="O234" s="6">
        <v>371</v>
      </c>
      <c r="P234" s="6">
        <v>214</v>
      </c>
      <c r="Q234" s="6">
        <v>157</v>
      </c>
      <c r="R234" s="7">
        <v>82.444444444444443</v>
      </c>
      <c r="S234" s="7">
        <v>88.796680497925308</v>
      </c>
      <c r="T234" s="7">
        <v>75.119617224880386</v>
      </c>
      <c r="U234" s="15">
        <f t="shared" si="11"/>
        <v>2</v>
      </c>
    </row>
    <row r="235" spans="1:21" ht="18.75" customHeight="1">
      <c r="A235" s="16">
        <v>239</v>
      </c>
      <c r="B235" s="3">
        <v>39</v>
      </c>
      <c r="C235" s="4" t="s">
        <v>259</v>
      </c>
      <c r="D235" s="9" t="s">
        <v>441</v>
      </c>
      <c r="E235" s="5" t="s">
        <v>221</v>
      </c>
      <c r="F235" s="6">
        <v>56</v>
      </c>
      <c r="G235" s="6">
        <v>283</v>
      </c>
      <c r="H235" s="6">
        <v>158</v>
      </c>
      <c r="I235" s="6">
        <v>125</v>
      </c>
      <c r="J235" s="17">
        <f t="shared" si="9"/>
        <v>791.13924050632909</v>
      </c>
      <c r="K235" s="6">
        <v>0</v>
      </c>
      <c r="L235" s="6">
        <v>0</v>
      </c>
      <c r="M235" s="6">
        <v>0</v>
      </c>
      <c r="N235" s="7">
        <f t="shared" si="10"/>
        <v>0</v>
      </c>
      <c r="O235" s="6">
        <v>218</v>
      </c>
      <c r="P235" s="6">
        <v>120</v>
      </c>
      <c r="Q235" s="6">
        <v>98</v>
      </c>
      <c r="R235" s="7">
        <v>81.647940074906373</v>
      </c>
      <c r="S235" s="7">
        <v>83.91608391608392</v>
      </c>
      <c r="T235" s="7">
        <v>79.032258064516128</v>
      </c>
      <c r="U235" s="15">
        <f t="shared" si="11"/>
        <v>3</v>
      </c>
    </row>
    <row r="236" spans="1:21" ht="18.75" customHeight="1">
      <c r="A236" s="16">
        <v>240</v>
      </c>
      <c r="B236" s="3">
        <v>40</v>
      </c>
      <c r="C236" s="4" t="s">
        <v>260</v>
      </c>
      <c r="D236" s="9" t="s">
        <v>441</v>
      </c>
      <c r="E236" s="5" t="s">
        <v>221</v>
      </c>
      <c r="F236" s="6">
        <v>176</v>
      </c>
      <c r="G236" s="6">
        <v>844</v>
      </c>
      <c r="H236" s="6">
        <v>444</v>
      </c>
      <c r="I236" s="6">
        <v>400</v>
      </c>
      <c r="J236" s="17">
        <f t="shared" si="9"/>
        <v>900.90090090090087</v>
      </c>
      <c r="K236" s="6">
        <v>25</v>
      </c>
      <c r="L236" s="6">
        <v>15</v>
      </c>
      <c r="M236" s="6">
        <v>10</v>
      </c>
      <c r="N236" s="7">
        <f t="shared" si="10"/>
        <v>2.9620853080568721</v>
      </c>
      <c r="O236" s="6">
        <v>592</v>
      </c>
      <c r="P236" s="6">
        <v>334</v>
      </c>
      <c r="Q236" s="6">
        <v>258</v>
      </c>
      <c r="R236" s="7">
        <v>76.98309492847855</v>
      </c>
      <c r="S236" s="7">
        <v>82.67326732673267</v>
      </c>
      <c r="T236" s="7">
        <v>70.68493150684931</v>
      </c>
      <c r="U236" s="15">
        <f t="shared" si="11"/>
        <v>1</v>
      </c>
    </row>
    <row r="237" spans="1:21" ht="18.75" customHeight="1">
      <c r="A237" s="16">
        <v>241</v>
      </c>
      <c r="B237" s="3">
        <v>41</v>
      </c>
      <c r="C237" s="4" t="s">
        <v>261</v>
      </c>
      <c r="D237" s="9" t="s">
        <v>441</v>
      </c>
      <c r="E237" s="5" t="s">
        <v>221</v>
      </c>
      <c r="F237" s="6">
        <v>533</v>
      </c>
      <c r="G237" s="6">
        <v>3069</v>
      </c>
      <c r="H237" s="6">
        <v>1600</v>
      </c>
      <c r="I237" s="6">
        <v>1469</v>
      </c>
      <c r="J237" s="17">
        <f t="shared" si="9"/>
        <v>918.125</v>
      </c>
      <c r="K237" s="6">
        <v>282</v>
      </c>
      <c r="L237" s="6">
        <v>146</v>
      </c>
      <c r="M237" s="6">
        <v>136</v>
      </c>
      <c r="N237" s="7">
        <f t="shared" si="10"/>
        <v>9.1886608015640281</v>
      </c>
      <c r="O237" s="6">
        <v>2198</v>
      </c>
      <c r="P237" s="6">
        <v>1252</v>
      </c>
      <c r="Q237" s="6">
        <v>946</v>
      </c>
      <c r="R237" s="7">
        <v>79.78221415607986</v>
      </c>
      <c r="S237" s="7">
        <v>88.355681016231486</v>
      </c>
      <c r="T237" s="7">
        <v>70.70254110612855</v>
      </c>
      <c r="U237" s="15">
        <f t="shared" si="11"/>
        <v>1</v>
      </c>
    </row>
    <row r="238" spans="1:21" ht="18.75" customHeight="1">
      <c r="A238" s="16">
        <v>242</v>
      </c>
      <c r="B238" s="3">
        <v>42</v>
      </c>
      <c r="C238" s="4" t="s">
        <v>262</v>
      </c>
      <c r="D238" s="9" t="s">
        <v>441</v>
      </c>
      <c r="E238" s="5" t="s">
        <v>221</v>
      </c>
      <c r="F238" s="6">
        <v>140</v>
      </c>
      <c r="G238" s="6">
        <v>808</v>
      </c>
      <c r="H238" s="6">
        <v>413</v>
      </c>
      <c r="I238" s="6">
        <v>395</v>
      </c>
      <c r="J238" s="17">
        <f t="shared" si="9"/>
        <v>956.41646489104119</v>
      </c>
      <c r="K238" s="6">
        <v>436</v>
      </c>
      <c r="L238" s="6">
        <v>225</v>
      </c>
      <c r="M238" s="6">
        <v>211</v>
      </c>
      <c r="N238" s="7">
        <f t="shared" si="10"/>
        <v>53.960396039603964</v>
      </c>
      <c r="O238" s="6">
        <v>522</v>
      </c>
      <c r="P238" s="6">
        <v>280</v>
      </c>
      <c r="Q238" s="6">
        <v>242</v>
      </c>
      <c r="R238" s="7">
        <v>76.991150442477874</v>
      </c>
      <c r="S238" s="7">
        <v>82.84023668639054</v>
      </c>
      <c r="T238" s="7">
        <v>71.17647058823529</v>
      </c>
      <c r="U238" s="15">
        <f t="shared" si="11"/>
        <v>1</v>
      </c>
    </row>
    <row r="239" spans="1:21" ht="18.75" customHeight="1">
      <c r="A239" s="16">
        <v>243</v>
      </c>
      <c r="B239" s="3">
        <v>43</v>
      </c>
      <c r="C239" s="4" t="s">
        <v>263</v>
      </c>
      <c r="D239" s="9" t="s">
        <v>441</v>
      </c>
      <c r="E239" s="5" t="s">
        <v>221</v>
      </c>
      <c r="F239" s="6">
        <v>67</v>
      </c>
      <c r="G239" s="6">
        <v>365</v>
      </c>
      <c r="H239" s="6">
        <v>197</v>
      </c>
      <c r="I239" s="6">
        <v>168</v>
      </c>
      <c r="J239" s="17">
        <f t="shared" si="9"/>
        <v>852.79187817258878</v>
      </c>
      <c r="K239" s="6">
        <v>0</v>
      </c>
      <c r="L239" s="6">
        <v>0</v>
      </c>
      <c r="M239" s="6">
        <v>0</v>
      </c>
      <c r="N239" s="7">
        <f t="shared" si="10"/>
        <v>0</v>
      </c>
      <c r="O239" s="6">
        <v>237</v>
      </c>
      <c r="P239" s="6">
        <v>147</v>
      </c>
      <c r="Q239" s="6">
        <v>90</v>
      </c>
      <c r="R239" s="7">
        <v>72.256097560975604</v>
      </c>
      <c r="S239" s="7">
        <v>82.584269662921344</v>
      </c>
      <c r="T239" s="7">
        <v>60</v>
      </c>
      <c r="U239" s="15">
        <f t="shared" si="11"/>
        <v>2</v>
      </c>
    </row>
    <row r="240" spans="1:21" ht="18.75" customHeight="1">
      <c r="A240" s="16">
        <v>244</v>
      </c>
      <c r="B240" s="3">
        <v>44</v>
      </c>
      <c r="C240" s="4" t="s">
        <v>264</v>
      </c>
      <c r="D240" s="9" t="s">
        <v>441</v>
      </c>
      <c r="E240" s="5" t="s">
        <v>221</v>
      </c>
      <c r="F240" s="6">
        <v>510</v>
      </c>
      <c r="G240" s="6">
        <v>2618</v>
      </c>
      <c r="H240" s="6">
        <v>1398</v>
      </c>
      <c r="I240" s="6">
        <v>1220</v>
      </c>
      <c r="J240" s="17">
        <f t="shared" si="9"/>
        <v>872.67525035765379</v>
      </c>
      <c r="K240" s="6">
        <v>993</v>
      </c>
      <c r="L240" s="6">
        <v>534</v>
      </c>
      <c r="M240" s="6">
        <v>459</v>
      </c>
      <c r="N240" s="7">
        <f t="shared" si="10"/>
        <v>37.929717341482046</v>
      </c>
      <c r="O240" s="6">
        <v>1836</v>
      </c>
      <c r="P240" s="6">
        <v>1063</v>
      </c>
      <c r="Q240" s="6">
        <v>773</v>
      </c>
      <c r="R240" s="7">
        <v>78.562259306803597</v>
      </c>
      <c r="S240" s="7">
        <v>86.563517915309447</v>
      </c>
      <c r="T240" s="7">
        <v>69.702434625788996</v>
      </c>
      <c r="U240" s="15">
        <f t="shared" si="11"/>
        <v>2</v>
      </c>
    </row>
    <row r="241" spans="1:21" ht="18.75" customHeight="1">
      <c r="A241" s="16">
        <v>245</v>
      </c>
      <c r="B241" s="3">
        <v>45</v>
      </c>
      <c r="C241" s="4" t="s">
        <v>265</v>
      </c>
      <c r="D241" s="9" t="s">
        <v>441</v>
      </c>
      <c r="E241" s="5" t="s">
        <v>221</v>
      </c>
      <c r="F241" s="6">
        <v>55</v>
      </c>
      <c r="G241" s="6">
        <v>298</v>
      </c>
      <c r="H241" s="6">
        <v>155</v>
      </c>
      <c r="I241" s="6">
        <v>143</v>
      </c>
      <c r="J241" s="17">
        <f t="shared" si="9"/>
        <v>922.58064516129036</v>
      </c>
      <c r="K241" s="6">
        <v>69</v>
      </c>
      <c r="L241" s="6">
        <v>38</v>
      </c>
      <c r="M241" s="6">
        <v>31</v>
      </c>
      <c r="N241" s="7">
        <f t="shared" si="10"/>
        <v>23.154362416107382</v>
      </c>
      <c r="O241" s="6">
        <v>178</v>
      </c>
      <c r="P241" s="6">
        <v>100</v>
      </c>
      <c r="Q241" s="6">
        <v>78</v>
      </c>
      <c r="R241" s="7">
        <v>71.774193548387103</v>
      </c>
      <c r="S241" s="7">
        <v>76.335877862595424</v>
      </c>
      <c r="T241" s="7">
        <v>66.666666666666657</v>
      </c>
      <c r="U241" s="15">
        <f t="shared" si="11"/>
        <v>1</v>
      </c>
    </row>
    <row r="242" spans="1:21" ht="18.75" customHeight="1">
      <c r="A242" s="16">
        <v>246</v>
      </c>
      <c r="B242" s="3">
        <v>46</v>
      </c>
      <c r="C242" s="4" t="s">
        <v>266</v>
      </c>
      <c r="D242" s="9" t="s">
        <v>441</v>
      </c>
      <c r="E242" s="5" t="s">
        <v>221</v>
      </c>
      <c r="F242" s="6">
        <v>36</v>
      </c>
      <c r="G242" s="6">
        <v>188</v>
      </c>
      <c r="H242" s="6">
        <v>106</v>
      </c>
      <c r="I242" s="6">
        <v>82</v>
      </c>
      <c r="J242" s="17">
        <f t="shared" si="9"/>
        <v>773.58490566037744</v>
      </c>
      <c r="K242" s="6">
        <v>0</v>
      </c>
      <c r="L242" s="6">
        <v>0</v>
      </c>
      <c r="M242" s="6">
        <v>0</v>
      </c>
      <c r="N242" s="7">
        <f t="shared" si="10"/>
        <v>0</v>
      </c>
      <c r="O242" s="6">
        <v>127</v>
      </c>
      <c r="P242" s="6">
        <v>78</v>
      </c>
      <c r="Q242" s="6">
        <v>49</v>
      </c>
      <c r="R242" s="7">
        <v>74.705882352941174</v>
      </c>
      <c r="S242" s="7">
        <v>83.870967741935488</v>
      </c>
      <c r="T242" s="7">
        <v>63.636363636363633</v>
      </c>
      <c r="U242" s="15">
        <f t="shared" si="11"/>
        <v>3</v>
      </c>
    </row>
    <row r="243" spans="1:21" ht="18.75" customHeight="1">
      <c r="A243" s="16">
        <v>247</v>
      </c>
      <c r="B243" s="3">
        <v>47</v>
      </c>
      <c r="C243" s="4" t="s">
        <v>267</v>
      </c>
      <c r="D243" s="9" t="s">
        <v>441</v>
      </c>
      <c r="E243" s="5" t="s">
        <v>221</v>
      </c>
      <c r="F243" s="6">
        <v>229</v>
      </c>
      <c r="G243" s="6">
        <v>1260</v>
      </c>
      <c r="H243" s="6">
        <v>645</v>
      </c>
      <c r="I243" s="6">
        <v>615</v>
      </c>
      <c r="J243" s="17">
        <f t="shared" si="9"/>
        <v>953.48837209302326</v>
      </c>
      <c r="K243" s="6">
        <v>290</v>
      </c>
      <c r="L243" s="6">
        <v>152</v>
      </c>
      <c r="M243" s="6">
        <v>138</v>
      </c>
      <c r="N243" s="7">
        <f t="shared" si="10"/>
        <v>23.015873015873016</v>
      </c>
      <c r="O243" s="6">
        <v>884</v>
      </c>
      <c r="P243" s="6">
        <v>495</v>
      </c>
      <c r="Q243" s="6">
        <v>389</v>
      </c>
      <c r="R243" s="7">
        <v>79.282511210762323</v>
      </c>
      <c r="S243" s="7">
        <v>87.147887323943664</v>
      </c>
      <c r="T243" s="7">
        <v>71.115173674588661</v>
      </c>
      <c r="U243" s="15">
        <f t="shared" si="11"/>
        <v>1</v>
      </c>
    </row>
    <row r="244" spans="1:21" ht="18.75" customHeight="1">
      <c r="A244" s="16">
        <v>248</v>
      </c>
      <c r="B244" s="3">
        <v>48</v>
      </c>
      <c r="C244" s="4" t="s">
        <v>268</v>
      </c>
      <c r="D244" s="9" t="s">
        <v>441</v>
      </c>
      <c r="E244" s="5" t="s">
        <v>221</v>
      </c>
      <c r="F244" s="6">
        <v>277</v>
      </c>
      <c r="G244" s="6">
        <v>1396</v>
      </c>
      <c r="H244" s="6">
        <v>737</v>
      </c>
      <c r="I244" s="6">
        <v>659</v>
      </c>
      <c r="J244" s="17">
        <f t="shared" si="9"/>
        <v>894.16553595658081</v>
      </c>
      <c r="K244" s="6">
        <v>135</v>
      </c>
      <c r="L244" s="6">
        <v>65</v>
      </c>
      <c r="M244" s="6">
        <v>70</v>
      </c>
      <c r="N244" s="7">
        <f t="shared" si="10"/>
        <v>9.6704871060171929</v>
      </c>
      <c r="O244" s="6">
        <v>950</v>
      </c>
      <c r="P244" s="6">
        <v>561</v>
      </c>
      <c r="Q244" s="6">
        <v>389</v>
      </c>
      <c r="R244" s="7">
        <v>76.674737691686843</v>
      </c>
      <c r="S244" s="7">
        <v>85.77981651376146</v>
      </c>
      <c r="T244" s="7">
        <v>66.495726495726487</v>
      </c>
      <c r="U244" s="15">
        <f t="shared" si="11"/>
        <v>2</v>
      </c>
    </row>
    <row r="245" spans="1:21" ht="18.75" customHeight="1">
      <c r="A245" s="16">
        <v>249</v>
      </c>
      <c r="B245" s="3">
        <v>49</v>
      </c>
      <c r="C245" s="4" t="s">
        <v>269</v>
      </c>
      <c r="D245" s="9" t="s">
        <v>441</v>
      </c>
      <c r="E245" s="5" t="s">
        <v>221</v>
      </c>
      <c r="F245" s="6">
        <v>170</v>
      </c>
      <c r="G245" s="6">
        <v>874</v>
      </c>
      <c r="H245" s="6">
        <v>471</v>
      </c>
      <c r="I245" s="6">
        <v>403</v>
      </c>
      <c r="J245" s="17">
        <f t="shared" si="9"/>
        <v>855.62632696390665</v>
      </c>
      <c r="K245" s="6">
        <v>30</v>
      </c>
      <c r="L245" s="6">
        <v>13</v>
      </c>
      <c r="M245" s="6">
        <v>17</v>
      </c>
      <c r="N245" s="7">
        <f t="shared" si="10"/>
        <v>3.4324942791762014</v>
      </c>
      <c r="O245" s="6">
        <v>579</v>
      </c>
      <c r="P245" s="6">
        <v>344</v>
      </c>
      <c r="Q245" s="6">
        <v>235</v>
      </c>
      <c r="R245" s="7">
        <v>75.488917861799223</v>
      </c>
      <c r="S245" s="7">
        <v>82.891566265060248</v>
      </c>
      <c r="T245" s="7">
        <v>66.76136363636364</v>
      </c>
      <c r="U245" s="15">
        <f t="shared" si="11"/>
        <v>2</v>
      </c>
    </row>
    <row r="246" spans="1:21" ht="18.75" customHeight="1">
      <c r="A246" s="16">
        <v>250</v>
      </c>
      <c r="B246" s="3">
        <v>1</v>
      </c>
      <c r="C246" s="4" t="s">
        <v>270</v>
      </c>
      <c r="D246" s="9" t="s">
        <v>441</v>
      </c>
      <c r="E246" s="5" t="s">
        <v>271</v>
      </c>
      <c r="F246" s="6">
        <v>503</v>
      </c>
      <c r="G246" s="6">
        <v>2470</v>
      </c>
      <c r="H246" s="6">
        <v>1256</v>
      </c>
      <c r="I246" s="6">
        <v>1214</v>
      </c>
      <c r="J246" s="17">
        <f t="shared" si="9"/>
        <v>966.56050955414003</v>
      </c>
      <c r="K246" s="6">
        <v>44</v>
      </c>
      <c r="L246" s="6">
        <v>30</v>
      </c>
      <c r="M246" s="6">
        <v>14</v>
      </c>
      <c r="N246" s="7">
        <f t="shared" si="10"/>
        <v>1.7813765182186234</v>
      </c>
      <c r="O246" s="6">
        <v>1514</v>
      </c>
      <c r="P246" s="6">
        <v>812</v>
      </c>
      <c r="Q246" s="6">
        <v>702</v>
      </c>
      <c r="R246" s="7">
        <v>68.849477035015923</v>
      </c>
      <c r="S246" s="7">
        <v>74.223034734917732</v>
      </c>
      <c r="T246" s="7">
        <v>63.529411764705877</v>
      </c>
      <c r="U246" s="15">
        <f t="shared" si="11"/>
        <v>1</v>
      </c>
    </row>
    <row r="247" spans="1:21" ht="18.75" customHeight="1">
      <c r="A247" s="16">
        <v>251</v>
      </c>
      <c r="B247" s="3">
        <v>2</v>
      </c>
      <c r="C247" s="4" t="s">
        <v>272</v>
      </c>
      <c r="D247" s="9" t="s">
        <v>441</v>
      </c>
      <c r="E247" s="5" t="s">
        <v>271</v>
      </c>
      <c r="F247" s="6">
        <v>826</v>
      </c>
      <c r="G247" s="6">
        <v>3934</v>
      </c>
      <c r="H247" s="6">
        <v>2078</v>
      </c>
      <c r="I247" s="6">
        <v>1856</v>
      </c>
      <c r="J247" s="17">
        <f t="shared" si="9"/>
        <v>893.1665062560154</v>
      </c>
      <c r="K247" s="6">
        <v>479</v>
      </c>
      <c r="L247" s="6">
        <v>255</v>
      </c>
      <c r="M247" s="6">
        <v>224</v>
      </c>
      <c r="N247" s="7">
        <f t="shared" si="10"/>
        <v>12.17590238942552</v>
      </c>
      <c r="O247" s="6">
        <v>2271</v>
      </c>
      <c r="P247" s="6">
        <v>1313</v>
      </c>
      <c r="Q247" s="6">
        <v>958</v>
      </c>
      <c r="R247" s="7">
        <v>65.541125541125538</v>
      </c>
      <c r="S247" s="7">
        <v>72.702104097452931</v>
      </c>
      <c r="T247" s="7">
        <v>57.74562989752863</v>
      </c>
      <c r="U247" s="15">
        <f t="shared" si="11"/>
        <v>2</v>
      </c>
    </row>
    <row r="248" spans="1:21" ht="18.75" customHeight="1">
      <c r="A248" s="16">
        <v>252</v>
      </c>
      <c r="B248" s="3">
        <v>3</v>
      </c>
      <c r="C248" s="4" t="s">
        <v>273</v>
      </c>
      <c r="D248" s="9" t="s">
        <v>441</v>
      </c>
      <c r="E248" s="5" t="s">
        <v>271</v>
      </c>
      <c r="F248" s="6">
        <v>125</v>
      </c>
      <c r="G248" s="6">
        <v>595</v>
      </c>
      <c r="H248" s="6">
        <v>286</v>
      </c>
      <c r="I248" s="6">
        <v>309</v>
      </c>
      <c r="J248" s="17">
        <f t="shared" si="9"/>
        <v>1080.4195804195804</v>
      </c>
      <c r="K248" s="6">
        <v>221</v>
      </c>
      <c r="L248" s="6">
        <v>111</v>
      </c>
      <c r="M248" s="6">
        <v>110</v>
      </c>
      <c r="N248" s="7">
        <f t="shared" si="10"/>
        <v>37.142857142857146</v>
      </c>
      <c r="O248" s="6">
        <v>368</v>
      </c>
      <c r="P248" s="6">
        <v>191</v>
      </c>
      <c r="Q248" s="6">
        <v>177</v>
      </c>
      <c r="R248" s="7">
        <v>73.161033797216703</v>
      </c>
      <c r="S248" s="7">
        <v>78.600823045267489</v>
      </c>
      <c r="T248" s="7">
        <v>68.07692307692308</v>
      </c>
      <c r="U248" s="15">
        <f t="shared" si="11"/>
        <v>1</v>
      </c>
    </row>
    <row r="249" spans="1:21" ht="18.75" customHeight="1">
      <c r="A249" s="16">
        <v>253</v>
      </c>
      <c r="B249" s="3">
        <v>4</v>
      </c>
      <c r="C249" s="4" t="s">
        <v>274</v>
      </c>
      <c r="D249" s="9" t="s">
        <v>441</v>
      </c>
      <c r="E249" s="5" t="s">
        <v>271</v>
      </c>
      <c r="F249" s="6">
        <v>466</v>
      </c>
      <c r="G249" s="6">
        <v>2464</v>
      </c>
      <c r="H249" s="6">
        <v>1298</v>
      </c>
      <c r="I249" s="6">
        <v>1166</v>
      </c>
      <c r="J249" s="17">
        <f t="shared" si="9"/>
        <v>898.30508474576277</v>
      </c>
      <c r="K249" s="6">
        <v>800</v>
      </c>
      <c r="L249" s="6">
        <v>423</v>
      </c>
      <c r="M249" s="6">
        <v>377</v>
      </c>
      <c r="N249" s="7">
        <f t="shared" si="10"/>
        <v>32.467532467532465</v>
      </c>
      <c r="O249" s="6">
        <v>1394</v>
      </c>
      <c r="P249" s="6">
        <v>823</v>
      </c>
      <c r="Q249" s="6">
        <v>571</v>
      </c>
      <c r="R249" s="7">
        <v>64.746864839758473</v>
      </c>
      <c r="S249" s="7">
        <v>72.960992907801412</v>
      </c>
      <c r="T249" s="7">
        <v>55.707317073170735</v>
      </c>
      <c r="U249" s="15">
        <f t="shared" si="11"/>
        <v>2</v>
      </c>
    </row>
    <row r="250" spans="1:21" ht="18.75" customHeight="1">
      <c r="A250" s="16">
        <v>254</v>
      </c>
      <c r="B250" s="3">
        <v>5</v>
      </c>
      <c r="C250" s="4" t="s">
        <v>275</v>
      </c>
      <c r="D250" s="9" t="s">
        <v>441</v>
      </c>
      <c r="E250" s="5" t="s">
        <v>271</v>
      </c>
      <c r="F250" s="6">
        <v>346</v>
      </c>
      <c r="G250" s="6">
        <v>1902</v>
      </c>
      <c r="H250" s="6">
        <v>981</v>
      </c>
      <c r="I250" s="6">
        <v>921</v>
      </c>
      <c r="J250" s="17">
        <f t="shared" si="9"/>
        <v>938.83792048929661</v>
      </c>
      <c r="K250" s="6">
        <v>564</v>
      </c>
      <c r="L250" s="6">
        <v>290</v>
      </c>
      <c r="M250" s="6">
        <v>274</v>
      </c>
      <c r="N250" s="7">
        <f t="shared" si="10"/>
        <v>29.652996845425868</v>
      </c>
      <c r="O250" s="6">
        <v>1127</v>
      </c>
      <c r="P250" s="6">
        <v>676</v>
      </c>
      <c r="Q250" s="6">
        <v>451</v>
      </c>
      <c r="R250" s="7">
        <v>69.056372549019613</v>
      </c>
      <c r="S250" s="7">
        <v>79.529411764705884</v>
      </c>
      <c r="T250" s="7">
        <v>57.672634271099746</v>
      </c>
      <c r="U250" s="15">
        <f t="shared" si="11"/>
        <v>1</v>
      </c>
    </row>
    <row r="251" spans="1:21" ht="18.75" customHeight="1">
      <c r="A251" s="16">
        <v>255</v>
      </c>
      <c r="B251" s="3">
        <v>6</v>
      </c>
      <c r="C251" s="4" t="s">
        <v>276</v>
      </c>
      <c r="D251" s="9" t="s">
        <v>441</v>
      </c>
      <c r="E251" s="5" t="s">
        <v>271</v>
      </c>
      <c r="F251" s="6">
        <v>422</v>
      </c>
      <c r="G251" s="6">
        <v>2289</v>
      </c>
      <c r="H251" s="6">
        <v>1234</v>
      </c>
      <c r="I251" s="6">
        <v>1055</v>
      </c>
      <c r="J251" s="17">
        <f t="shared" si="9"/>
        <v>854.94327390599676</v>
      </c>
      <c r="K251" s="6">
        <v>383</v>
      </c>
      <c r="L251" s="6">
        <v>203</v>
      </c>
      <c r="M251" s="6">
        <v>180</v>
      </c>
      <c r="N251" s="7">
        <f t="shared" si="10"/>
        <v>16.73219746614242</v>
      </c>
      <c r="O251" s="6">
        <v>1433</v>
      </c>
      <c r="P251" s="6">
        <v>839</v>
      </c>
      <c r="Q251" s="6">
        <v>594</v>
      </c>
      <c r="R251" s="7">
        <v>71.151936444885806</v>
      </c>
      <c r="S251" s="7">
        <v>78.631677600749754</v>
      </c>
      <c r="T251" s="7">
        <v>62.724392819429774</v>
      </c>
      <c r="U251" s="15">
        <f t="shared" si="11"/>
        <v>2</v>
      </c>
    </row>
    <row r="252" spans="1:21" ht="18.75" customHeight="1">
      <c r="A252" s="16">
        <v>256</v>
      </c>
      <c r="B252" s="3">
        <v>7</v>
      </c>
      <c r="C252" s="4" t="s">
        <v>277</v>
      </c>
      <c r="D252" s="9" t="s">
        <v>441</v>
      </c>
      <c r="E252" s="5" t="s">
        <v>271</v>
      </c>
      <c r="F252" s="6">
        <v>1028</v>
      </c>
      <c r="G252" s="6">
        <v>5129</v>
      </c>
      <c r="H252" s="6">
        <v>2679</v>
      </c>
      <c r="I252" s="6">
        <v>2450</v>
      </c>
      <c r="J252" s="17">
        <f t="shared" si="9"/>
        <v>914.52034341172089</v>
      </c>
      <c r="K252" s="6">
        <v>560</v>
      </c>
      <c r="L252" s="6">
        <v>300</v>
      </c>
      <c r="M252" s="6">
        <v>260</v>
      </c>
      <c r="N252" s="7">
        <f t="shared" si="10"/>
        <v>10.918307662312342</v>
      </c>
      <c r="O252" s="6">
        <v>3235</v>
      </c>
      <c r="P252" s="6">
        <v>1848</v>
      </c>
      <c r="Q252" s="6">
        <v>1387</v>
      </c>
      <c r="R252" s="7">
        <v>71.349801499779446</v>
      </c>
      <c r="S252" s="7">
        <v>78.738815509160631</v>
      </c>
      <c r="T252" s="7">
        <v>63.420210333790585</v>
      </c>
      <c r="U252" s="15">
        <f t="shared" si="11"/>
        <v>1</v>
      </c>
    </row>
    <row r="253" spans="1:21" ht="18.75" customHeight="1">
      <c r="A253" s="16">
        <v>257</v>
      </c>
      <c r="B253" s="3">
        <v>8</v>
      </c>
      <c r="C253" s="4" t="s">
        <v>278</v>
      </c>
      <c r="D253" s="9" t="s">
        <v>441</v>
      </c>
      <c r="E253" s="5" t="s">
        <v>271</v>
      </c>
      <c r="F253" s="6">
        <v>139</v>
      </c>
      <c r="G253" s="6">
        <v>841</v>
      </c>
      <c r="H253" s="6">
        <v>452</v>
      </c>
      <c r="I253" s="6">
        <v>389</v>
      </c>
      <c r="J253" s="17">
        <f t="shared" si="9"/>
        <v>860.61946902654859</v>
      </c>
      <c r="K253" s="6">
        <v>236</v>
      </c>
      <c r="L253" s="6">
        <v>125</v>
      </c>
      <c r="M253" s="6">
        <v>111</v>
      </c>
      <c r="N253" s="7">
        <f t="shared" si="10"/>
        <v>28.061831153388823</v>
      </c>
      <c r="O253" s="6">
        <v>569</v>
      </c>
      <c r="P253" s="6">
        <v>324</v>
      </c>
      <c r="Q253" s="6">
        <v>245</v>
      </c>
      <c r="R253" s="7">
        <v>76.995940460081187</v>
      </c>
      <c r="S253" s="7">
        <v>82.025316455696213</v>
      </c>
      <c r="T253" s="7">
        <v>71.220930232558146</v>
      </c>
      <c r="U253" s="15">
        <f t="shared" si="11"/>
        <v>2</v>
      </c>
    </row>
    <row r="254" spans="1:21" ht="18.75" customHeight="1">
      <c r="A254" s="16">
        <v>258</v>
      </c>
      <c r="B254" s="3">
        <v>9</v>
      </c>
      <c r="C254" s="4" t="s">
        <v>279</v>
      </c>
      <c r="D254" s="9" t="s">
        <v>441</v>
      </c>
      <c r="E254" s="5" t="s">
        <v>271</v>
      </c>
      <c r="F254" s="6">
        <v>193</v>
      </c>
      <c r="G254" s="6">
        <v>1046</v>
      </c>
      <c r="H254" s="6">
        <v>561</v>
      </c>
      <c r="I254" s="6">
        <v>485</v>
      </c>
      <c r="J254" s="17">
        <f t="shared" si="9"/>
        <v>864.52762923351156</v>
      </c>
      <c r="K254" s="6">
        <v>36</v>
      </c>
      <c r="L254" s="6">
        <v>25</v>
      </c>
      <c r="M254" s="6">
        <v>11</v>
      </c>
      <c r="N254" s="7">
        <f t="shared" si="10"/>
        <v>3.4416826003824093</v>
      </c>
      <c r="O254" s="6">
        <v>593</v>
      </c>
      <c r="P254" s="6">
        <v>364</v>
      </c>
      <c r="Q254" s="6">
        <v>229</v>
      </c>
      <c r="R254" s="7">
        <v>67.233560090702952</v>
      </c>
      <c r="S254" s="7">
        <v>78.958785249457691</v>
      </c>
      <c r="T254" s="7">
        <v>54.394299287410931</v>
      </c>
      <c r="U254" s="15">
        <f t="shared" si="11"/>
        <v>2</v>
      </c>
    </row>
    <row r="255" spans="1:21" ht="18.75" customHeight="1">
      <c r="A255" s="16">
        <v>259</v>
      </c>
      <c r="B255" s="3">
        <v>10</v>
      </c>
      <c r="C255" s="4" t="s">
        <v>280</v>
      </c>
      <c r="D255" s="9" t="s">
        <v>441</v>
      </c>
      <c r="E255" s="5" t="s">
        <v>271</v>
      </c>
      <c r="F255" s="6">
        <v>624</v>
      </c>
      <c r="G255" s="6">
        <v>3392</v>
      </c>
      <c r="H255" s="6">
        <v>1773</v>
      </c>
      <c r="I255" s="6">
        <v>1619</v>
      </c>
      <c r="J255" s="17">
        <f t="shared" si="9"/>
        <v>913.14156796390296</v>
      </c>
      <c r="K255" s="6">
        <v>661</v>
      </c>
      <c r="L255" s="6">
        <v>341</v>
      </c>
      <c r="M255" s="6">
        <v>320</v>
      </c>
      <c r="N255" s="7">
        <f t="shared" si="10"/>
        <v>19.487028301886792</v>
      </c>
      <c r="O255" s="6">
        <v>2163</v>
      </c>
      <c r="P255" s="6">
        <v>1256</v>
      </c>
      <c r="Q255" s="6">
        <v>907</v>
      </c>
      <c r="R255" s="7">
        <v>73.148461278322628</v>
      </c>
      <c r="S255" s="7">
        <v>81.50551589876703</v>
      </c>
      <c r="T255" s="7">
        <v>64.05367231638418</v>
      </c>
      <c r="U255" s="15">
        <f t="shared" si="11"/>
        <v>1</v>
      </c>
    </row>
    <row r="256" spans="1:21" ht="18.75" customHeight="1">
      <c r="A256" s="16">
        <v>260</v>
      </c>
      <c r="B256" s="3">
        <v>11</v>
      </c>
      <c r="C256" s="4" t="s">
        <v>281</v>
      </c>
      <c r="D256" s="9" t="s">
        <v>441</v>
      </c>
      <c r="E256" s="5" t="s">
        <v>271</v>
      </c>
      <c r="F256" s="6">
        <v>314</v>
      </c>
      <c r="G256" s="6">
        <v>1649</v>
      </c>
      <c r="H256" s="6">
        <v>884</v>
      </c>
      <c r="I256" s="6">
        <v>765</v>
      </c>
      <c r="J256" s="17">
        <f t="shared" si="9"/>
        <v>865.38461538461547</v>
      </c>
      <c r="K256" s="6">
        <v>304</v>
      </c>
      <c r="L256" s="6">
        <v>162</v>
      </c>
      <c r="M256" s="6">
        <v>142</v>
      </c>
      <c r="N256" s="7">
        <f t="shared" si="10"/>
        <v>18.435415403274714</v>
      </c>
      <c r="O256" s="6">
        <v>981</v>
      </c>
      <c r="P256" s="6">
        <v>562</v>
      </c>
      <c r="Q256" s="6">
        <v>419</v>
      </c>
      <c r="R256" s="7">
        <v>70.524802300503225</v>
      </c>
      <c r="S256" s="7">
        <v>76.566757493188007</v>
      </c>
      <c r="T256" s="7">
        <v>63.774733637747339</v>
      </c>
      <c r="U256" s="15">
        <f t="shared" si="11"/>
        <v>2</v>
      </c>
    </row>
    <row r="257" spans="1:21" ht="18.75" customHeight="1">
      <c r="A257" s="16">
        <v>261</v>
      </c>
      <c r="B257" s="3">
        <v>12</v>
      </c>
      <c r="C257" s="4" t="s">
        <v>282</v>
      </c>
      <c r="D257" s="9" t="s">
        <v>441</v>
      </c>
      <c r="E257" s="5" t="s">
        <v>271</v>
      </c>
      <c r="F257" s="6">
        <v>200</v>
      </c>
      <c r="G257" s="6">
        <v>1037</v>
      </c>
      <c r="H257" s="6">
        <v>536</v>
      </c>
      <c r="I257" s="6">
        <v>501</v>
      </c>
      <c r="J257" s="17">
        <f t="shared" si="9"/>
        <v>934.70149253731336</v>
      </c>
      <c r="K257" s="6">
        <v>247</v>
      </c>
      <c r="L257" s="6">
        <v>129</v>
      </c>
      <c r="M257" s="6">
        <v>118</v>
      </c>
      <c r="N257" s="7">
        <f t="shared" si="10"/>
        <v>23.818707810993249</v>
      </c>
      <c r="O257" s="6">
        <v>622</v>
      </c>
      <c r="P257" s="6">
        <v>345</v>
      </c>
      <c r="Q257" s="6">
        <v>277</v>
      </c>
      <c r="R257" s="7">
        <v>67.170626349892004</v>
      </c>
      <c r="S257" s="7">
        <v>72.327044025157221</v>
      </c>
      <c r="T257" s="7">
        <v>61.692650334075729</v>
      </c>
      <c r="U257" s="15">
        <f t="shared" si="11"/>
        <v>1</v>
      </c>
    </row>
    <row r="258" spans="1:21" ht="18.75" customHeight="1">
      <c r="A258" s="16">
        <v>262</v>
      </c>
      <c r="B258" s="3">
        <v>13</v>
      </c>
      <c r="C258" s="4" t="s">
        <v>283</v>
      </c>
      <c r="D258" s="9" t="s">
        <v>441</v>
      </c>
      <c r="E258" s="5" t="s">
        <v>271</v>
      </c>
      <c r="F258" s="6">
        <v>199</v>
      </c>
      <c r="G258" s="6">
        <v>1073</v>
      </c>
      <c r="H258" s="6">
        <v>552</v>
      </c>
      <c r="I258" s="6">
        <v>521</v>
      </c>
      <c r="J258" s="17">
        <f t="shared" ref="J258:J321" si="12">I258/H258*1000</f>
        <v>943.84057971014488</v>
      </c>
      <c r="K258" s="6">
        <v>148</v>
      </c>
      <c r="L258" s="6">
        <v>74</v>
      </c>
      <c r="M258" s="6">
        <v>74</v>
      </c>
      <c r="N258" s="7">
        <f t="shared" ref="N258:N321" si="13">K258/G258*100</f>
        <v>13.793103448275861</v>
      </c>
      <c r="O258" s="6">
        <v>574</v>
      </c>
      <c r="P258" s="6">
        <v>308</v>
      </c>
      <c r="Q258" s="6">
        <v>266</v>
      </c>
      <c r="R258" s="7">
        <v>61.65413533834586</v>
      </c>
      <c r="S258" s="7">
        <v>65.531914893617014</v>
      </c>
      <c r="T258" s="7">
        <v>57.700650759219087</v>
      </c>
      <c r="U258" s="15">
        <f t="shared" si="11"/>
        <v>1</v>
      </c>
    </row>
    <row r="259" spans="1:21" ht="18.75" customHeight="1">
      <c r="A259" s="16">
        <v>263</v>
      </c>
      <c r="B259" s="3">
        <v>14</v>
      </c>
      <c r="C259" s="4" t="s">
        <v>284</v>
      </c>
      <c r="D259" s="9" t="s">
        <v>441</v>
      </c>
      <c r="E259" s="5" t="s">
        <v>271</v>
      </c>
      <c r="F259" s="6">
        <v>156</v>
      </c>
      <c r="G259" s="6">
        <v>873</v>
      </c>
      <c r="H259" s="6">
        <v>463</v>
      </c>
      <c r="I259" s="6">
        <v>410</v>
      </c>
      <c r="J259" s="17">
        <f t="shared" si="12"/>
        <v>885.52915766738658</v>
      </c>
      <c r="K259" s="6">
        <v>17</v>
      </c>
      <c r="L259" s="6">
        <v>10</v>
      </c>
      <c r="M259" s="6">
        <v>7</v>
      </c>
      <c r="N259" s="7">
        <f t="shared" si="13"/>
        <v>1.9473081328751431</v>
      </c>
      <c r="O259" s="6">
        <v>569</v>
      </c>
      <c r="P259" s="6">
        <v>342</v>
      </c>
      <c r="Q259" s="6">
        <v>227</v>
      </c>
      <c r="R259" s="7">
        <v>75.664893617021278</v>
      </c>
      <c r="S259" s="7">
        <v>85.5</v>
      </c>
      <c r="T259" s="7">
        <v>64.48863636363636</v>
      </c>
      <c r="U259" s="15">
        <f t="shared" ref="U259:U322" si="14">IF($J259&gt;900,1,IF($J259&gt;800,2,IF($J259&gt;700,3,0)))</f>
        <v>2</v>
      </c>
    </row>
    <row r="260" spans="1:21" ht="18.75" customHeight="1">
      <c r="A260" s="16">
        <v>264</v>
      </c>
      <c r="B260" s="3">
        <v>15</v>
      </c>
      <c r="C260" s="4" t="s">
        <v>285</v>
      </c>
      <c r="D260" s="9" t="s">
        <v>441</v>
      </c>
      <c r="E260" s="5" t="s">
        <v>271</v>
      </c>
      <c r="F260" s="6">
        <v>167</v>
      </c>
      <c r="G260" s="6">
        <v>843</v>
      </c>
      <c r="H260" s="6">
        <v>451</v>
      </c>
      <c r="I260" s="6">
        <v>392</v>
      </c>
      <c r="J260" s="17">
        <f t="shared" si="12"/>
        <v>869.17960088691791</v>
      </c>
      <c r="K260" s="6">
        <v>203</v>
      </c>
      <c r="L260" s="6">
        <v>117</v>
      </c>
      <c r="M260" s="6">
        <v>86</v>
      </c>
      <c r="N260" s="7">
        <f t="shared" si="13"/>
        <v>24.080664294187425</v>
      </c>
      <c r="O260" s="6">
        <v>492</v>
      </c>
      <c r="P260" s="6">
        <v>299</v>
      </c>
      <c r="Q260" s="6">
        <v>193</v>
      </c>
      <c r="R260" s="7">
        <v>67.397260273972606</v>
      </c>
      <c r="S260" s="7">
        <v>75.696202531645568</v>
      </c>
      <c r="T260" s="7">
        <v>57.611940298507456</v>
      </c>
      <c r="U260" s="15">
        <f t="shared" si="14"/>
        <v>2</v>
      </c>
    </row>
    <row r="261" spans="1:21" ht="18.75" customHeight="1">
      <c r="A261" s="16">
        <v>265</v>
      </c>
      <c r="B261" s="3">
        <v>16</v>
      </c>
      <c r="C261" s="4" t="s">
        <v>286</v>
      </c>
      <c r="D261" s="9" t="s">
        <v>441</v>
      </c>
      <c r="E261" s="5" t="s">
        <v>271</v>
      </c>
      <c r="F261" s="6">
        <v>1147</v>
      </c>
      <c r="G261" s="6">
        <v>5520</v>
      </c>
      <c r="H261" s="6">
        <v>2859</v>
      </c>
      <c r="I261" s="6">
        <v>2661</v>
      </c>
      <c r="J261" s="17">
        <f t="shared" si="12"/>
        <v>930.7450157397692</v>
      </c>
      <c r="K261" s="6">
        <v>737</v>
      </c>
      <c r="L261" s="6">
        <v>386</v>
      </c>
      <c r="M261" s="6">
        <v>351</v>
      </c>
      <c r="N261" s="7">
        <f t="shared" si="13"/>
        <v>13.351449275362318</v>
      </c>
      <c r="O261" s="6">
        <v>2756</v>
      </c>
      <c r="P261" s="6">
        <v>1573</v>
      </c>
      <c r="Q261" s="6">
        <v>1183</v>
      </c>
      <c r="R261" s="7">
        <v>59.87399522050837</v>
      </c>
      <c r="S261" s="7">
        <v>65.651085141903181</v>
      </c>
      <c r="T261" s="7">
        <v>53.602174898051658</v>
      </c>
      <c r="U261" s="15">
        <f t="shared" si="14"/>
        <v>1</v>
      </c>
    </row>
    <row r="262" spans="1:21" ht="18.75" customHeight="1">
      <c r="A262" s="16">
        <v>267</v>
      </c>
      <c r="B262" s="3">
        <v>18</v>
      </c>
      <c r="C262" s="4" t="s">
        <v>288</v>
      </c>
      <c r="D262" s="9" t="s">
        <v>441</v>
      </c>
      <c r="E262" s="5" t="s">
        <v>271</v>
      </c>
      <c r="F262" s="6">
        <v>193</v>
      </c>
      <c r="G262" s="6">
        <v>934</v>
      </c>
      <c r="H262" s="6">
        <v>506</v>
      </c>
      <c r="I262" s="6">
        <v>428</v>
      </c>
      <c r="J262" s="17">
        <f t="shared" si="12"/>
        <v>845.8498023715415</v>
      </c>
      <c r="K262" s="6">
        <v>471</v>
      </c>
      <c r="L262" s="6">
        <v>254</v>
      </c>
      <c r="M262" s="6">
        <v>217</v>
      </c>
      <c r="N262" s="7">
        <f t="shared" si="13"/>
        <v>50.428265524625274</v>
      </c>
      <c r="O262" s="6">
        <v>613</v>
      </c>
      <c r="P262" s="6">
        <v>361</v>
      </c>
      <c r="Q262" s="6">
        <v>252</v>
      </c>
      <c r="R262" s="7">
        <v>74.574209245742097</v>
      </c>
      <c r="S262" s="7">
        <v>82.420091324200911</v>
      </c>
      <c r="T262" s="7">
        <v>65.625</v>
      </c>
      <c r="U262" s="15">
        <f t="shared" si="14"/>
        <v>2</v>
      </c>
    </row>
    <row r="263" spans="1:21" ht="18.75" customHeight="1">
      <c r="A263" s="16">
        <v>268</v>
      </c>
      <c r="B263" s="3">
        <v>19</v>
      </c>
      <c r="C263" s="4" t="s">
        <v>289</v>
      </c>
      <c r="D263" s="9" t="s">
        <v>441</v>
      </c>
      <c r="E263" s="5" t="s">
        <v>271</v>
      </c>
      <c r="F263" s="6">
        <v>236</v>
      </c>
      <c r="G263" s="6">
        <v>1227</v>
      </c>
      <c r="H263" s="6">
        <v>653</v>
      </c>
      <c r="I263" s="6">
        <v>574</v>
      </c>
      <c r="J263" s="17">
        <f t="shared" si="12"/>
        <v>879.01990811638586</v>
      </c>
      <c r="K263" s="6">
        <v>130</v>
      </c>
      <c r="L263" s="6">
        <v>69</v>
      </c>
      <c r="M263" s="6">
        <v>61</v>
      </c>
      <c r="N263" s="7">
        <f t="shared" si="13"/>
        <v>10.594947025264874</v>
      </c>
      <c r="O263" s="6">
        <v>776</v>
      </c>
      <c r="P263" s="6">
        <v>460</v>
      </c>
      <c r="Q263" s="6">
        <v>316</v>
      </c>
      <c r="R263" s="7">
        <v>72.523364485981318</v>
      </c>
      <c r="S263" s="7">
        <v>81.415929203539832</v>
      </c>
      <c r="T263" s="7">
        <v>62.574257425742573</v>
      </c>
      <c r="U263" s="15">
        <f t="shared" si="14"/>
        <v>2</v>
      </c>
    </row>
    <row r="264" spans="1:21" ht="18.75" customHeight="1">
      <c r="A264" s="16">
        <v>269</v>
      </c>
      <c r="B264" s="3">
        <v>20</v>
      </c>
      <c r="C264" s="4" t="s">
        <v>290</v>
      </c>
      <c r="D264" s="9" t="s">
        <v>441</v>
      </c>
      <c r="E264" s="5" t="s">
        <v>271</v>
      </c>
      <c r="F264" s="6">
        <v>249</v>
      </c>
      <c r="G264" s="6">
        <v>1140</v>
      </c>
      <c r="H264" s="6">
        <v>594</v>
      </c>
      <c r="I264" s="6">
        <v>546</v>
      </c>
      <c r="J264" s="17">
        <f t="shared" si="12"/>
        <v>919.19191919191928</v>
      </c>
      <c r="K264" s="6">
        <v>458</v>
      </c>
      <c r="L264" s="6">
        <v>244</v>
      </c>
      <c r="M264" s="6">
        <v>214</v>
      </c>
      <c r="N264" s="7">
        <f t="shared" si="13"/>
        <v>40.175438596491233</v>
      </c>
      <c r="O264" s="6">
        <v>692</v>
      </c>
      <c r="P264" s="6">
        <v>395</v>
      </c>
      <c r="Q264" s="6">
        <v>297</v>
      </c>
      <c r="R264" s="7">
        <v>70.756646216768914</v>
      </c>
      <c r="S264" s="7">
        <v>78.528827037773368</v>
      </c>
      <c r="T264" s="7">
        <v>62.526315789473685</v>
      </c>
      <c r="U264" s="15">
        <f t="shared" si="14"/>
        <v>1</v>
      </c>
    </row>
    <row r="265" spans="1:21" ht="18.75" customHeight="1">
      <c r="A265" s="16">
        <v>270</v>
      </c>
      <c r="B265" s="3">
        <v>21</v>
      </c>
      <c r="C265" s="4" t="s">
        <v>291</v>
      </c>
      <c r="D265" s="9" t="s">
        <v>441</v>
      </c>
      <c r="E265" s="5" t="s">
        <v>271</v>
      </c>
      <c r="F265" s="6">
        <v>304</v>
      </c>
      <c r="G265" s="6">
        <v>1743</v>
      </c>
      <c r="H265" s="6">
        <v>928</v>
      </c>
      <c r="I265" s="6">
        <v>815</v>
      </c>
      <c r="J265" s="17">
        <f t="shared" si="12"/>
        <v>878.23275862068965</v>
      </c>
      <c r="K265" s="6">
        <v>645</v>
      </c>
      <c r="L265" s="6">
        <v>341</v>
      </c>
      <c r="M265" s="6">
        <v>304</v>
      </c>
      <c r="N265" s="7">
        <f t="shared" si="13"/>
        <v>37.005163511187604</v>
      </c>
      <c r="O265" s="6">
        <v>1019</v>
      </c>
      <c r="P265" s="6">
        <v>613</v>
      </c>
      <c r="Q265" s="6">
        <v>406</v>
      </c>
      <c r="R265" s="7">
        <v>68.11497326203208</v>
      </c>
      <c r="S265" s="7">
        <v>76.720901126408009</v>
      </c>
      <c r="T265" s="7">
        <v>58.249641319942612</v>
      </c>
      <c r="U265" s="15">
        <f t="shared" si="14"/>
        <v>2</v>
      </c>
    </row>
    <row r="266" spans="1:21" ht="18.75" customHeight="1">
      <c r="A266" s="16">
        <v>271</v>
      </c>
      <c r="B266" s="3">
        <v>22</v>
      </c>
      <c r="C266" s="4" t="s">
        <v>292</v>
      </c>
      <c r="D266" s="9" t="s">
        <v>441</v>
      </c>
      <c r="E266" s="5" t="s">
        <v>271</v>
      </c>
      <c r="F266" s="6">
        <v>1684</v>
      </c>
      <c r="G266" s="6">
        <v>8237</v>
      </c>
      <c r="H266" s="6">
        <v>4353</v>
      </c>
      <c r="I266" s="6">
        <v>3884</v>
      </c>
      <c r="J266" s="17">
        <f t="shared" si="12"/>
        <v>892.25821272685505</v>
      </c>
      <c r="K266" s="6">
        <v>3452</v>
      </c>
      <c r="L266" s="6">
        <v>1822</v>
      </c>
      <c r="M266" s="6">
        <v>1630</v>
      </c>
      <c r="N266" s="7">
        <f t="shared" si="13"/>
        <v>41.90846181862328</v>
      </c>
      <c r="O266" s="6">
        <v>4847</v>
      </c>
      <c r="P266" s="6">
        <v>2693</v>
      </c>
      <c r="Q266" s="6">
        <v>2154</v>
      </c>
      <c r="R266" s="7">
        <v>68.162002531289559</v>
      </c>
      <c r="S266" s="7">
        <v>72.005347593582897</v>
      </c>
      <c r="T266" s="7">
        <v>63.89795312963512</v>
      </c>
      <c r="U266" s="15">
        <f t="shared" si="14"/>
        <v>2</v>
      </c>
    </row>
    <row r="267" spans="1:21" ht="18.75" customHeight="1">
      <c r="A267" s="16">
        <v>272</v>
      </c>
      <c r="B267" s="3">
        <v>23</v>
      </c>
      <c r="C267" s="4" t="s">
        <v>293</v>
      </c>
      <c r="D267" s="9" t="s">
        <v>441</v>
      </c>
      <c r="E267" s="5" t="s">
        <v>271</v>
      </c>
      <c r="F267" s="6">
        <v>153</v>
      </c>
      <c r="G267" s="6">
        <v>850</v>
      </c>
      <c r="H267" s="6">
        <v>443</v>
      </c>
      <c r="I267" s="6">
        <v>407</v>
      </c>
      <c r="J267" s="17">
        <f t="shared" si="12"/>
        <v>918.73589164785551</v>
      </c>
      <c r="K267" s="6">
        <v>297</v>
      </c>
      <c r="L267" s="6">
        <v>152</v>
      </c>
      <c r="M267" s="6">
        <v>145</v>
      </c>
      <c r="N267" s="7">
        <f t="shared" si="13"/>
        <v>34.941176470588239</v>
      </c>
      <c r="O267" s="6">
        <v>483</v>
      </c>
      <c r="P267" s="6">
        <v>272</v>
      </c>
      <c r="Q267" s="6">
        <v>211</v>
      </c>
      <c r="R267" s="7">
        <v>67.552447552447546</v>
      </c>
      <c r="S267" s="7">
        <v>73.71273712737127</v>
      </c>
      <c r="T267" s="7">
        <v>60.982658959537574</v>
      </c>
      <c r="U267" s="15">
        <f t="shared" si="14"/>
        <v>1</v>
      </c>
    </row>
    <row r="268" spans="1:21" ht="18.75" customHeight="1">
      <c r="A268" s="16">
        <v>273</v>
      </c>
      <c r="B268" s="3">
        <v>24</v>
      </c>
      <c r="C268" s="4" t="s">
        <v>294</v>
      </c>
      <c r="D268" s="9" t="s">
        <v>441</v>
      </c>
      <c r="E268" s="5" t="s">
        <v>271</v>
      </c>
      <c r="F268" s="6">
        <v>673</v>
      </c>
      <c r="G268" s="6">
        <v>3689</v>
      </c>
      <c r="H268" s="6">
        <v>1924</v>
      </c>
      <c r="I268" s="6">
        <v>1765</v>
      </c>
      <c r="J268" s="17">
        <f t="shared" si="12"/>
        <v>917.35966735966736</v>
      </c>
      <c r="K268" s="6">
        <v>934</v>
      </c>
      <c r="L268" s="6">
        <v>494</v>
      </c>
      <c r="M268" s="6">
        <v>440</v>
      </c>
      <c r="N268" s="7">
        <f t="shared" si="13"/>
        <v>25.318514502575223</v>
      </c>
      <c r="O268" s="6">
        <v>2184</v>
      </c>
      <c r="P268" s="6">
        <v>1263</v>
      </c>
      <c r="Q268" s="6">
        <v>921</v>
      </c>
      <c r="R268" s="7">
        <v>68.271334792122545</v>
      </c>
      <c r="S268" s="7">
        <v>76.871576384662205</v>
      </c>
      <c r="T268" s="7">
        <v>59.19023136246787</v>
      </c>
      <c r="U268" s="15">
        <f t="shared" si="14"/>
        <v>1</v>
      </c>
    </row>
    <row r="269" spans="1:21" ht="18.75" customHeight="1">
      <c r="A269" s="16">
        <v>274</v>
      </c>
      <c r="B269" s="3">
        <v>25</v>
      </c>
      <c r="C269" s="4" t="s">
        <v>295</v>
      </c>
      <c r="D269" s="9" t="s">
        <v>441</v>
      </c>
      <c r="E269" s="5" t="s">
        <v>271</v>
      </c>
      <c r="F269" s="6">
        <v>326</v>
      </c>
      <c r="G269" s="6">
        <v>1740</v>
      </c>
      <c r="H269" s="6">
        <v>910</v>
      </c>
      <c r="I269" s="6">
        <v>830</v>
      </c>
      <c r="J269" s="17">
        <f t="shared" si="12"/>
        <v>912.08791208791206</v>
      </c>
      <c r="K269" s="6">
        <v>240</v>
      </c>
      <c r="L269" s="6">
        <v>121</v>
      </c>
      <c r="M269" s="6">
        <v>119</v>
      </c>
      <c r="N269" s="7">
        <f t="shared" si="13"/>
        <v>13.793103448275861</v>
      </c>
      <c r="O269" s="6">
        <v>1035</v>
      </c>
      <c r="P269" s="6">
        <v>618</v>
      </c>
      <c r="Q269" s="6">
        <v>417</v>
      </c>
      <c r="R269" s="7">
        <v>68.862275449101801</v>
      </c>
      <c r="S269" s="7">
        <v>79.332477535301678</v>
      </c>
      <c r="T269" s="7">
        <v>57.596685082872924</v>
      </c>
      <c r="U269" s="15">
        <f t="shared" si="14"/>
        <v>1</v>
      </c>
    </row>
    <row r="270" spans="1:21" ht="18.75" customHeight="1">
      <c r="A270" s="16">
        <v>275</v>
      </c>
      <c r="B270" s="3">
        <v>26</v>
      </c>
      <c r="C270" s="4" t="s">
        <v>296</v>
      </c>
      <c r="D270" s="9" t="s">
        <v>441</v>
      </c>
      <c r="E270" s="5" t="s">
        <v>271</v>
      </c>
      <c r="F270" s="6">
        <v>190</v>
      </c>
      <c r="G270" s="6">
        <v>855</v>
      </c>
      <c r="H270" s="6">
        <v>453</v>
      </c>
      <c r="I270" s="6">
        <v>402</v>
      </c>
      <c r="J270" s="17">
        <f t="shared" si="12"/>
        <v>887.41721854304637</v>
      </c>
      <c r="K270" s="6">
        <v>97</v>
      </c>
      <c r="L270" s="6">
        <v>58</v>
      </c>
      <c r="M270" s="6">
        <v>39</v>
      </c>
      <c r="N270" s="7">
        <f t="shared" si="13"/>
        <v>11.345029239766081</v>
      </c>
      <c r="O270" s="6">
        <v>575</v>
      </c>
      <c r="P270" s="6">
        <v>327</v>
      </c>
      <c r="Q270" s="6">
        <v>248</v>
      </c>
      <c r="R270" s="7">
        <v>75.757575757575751</v>
      </c>
      <c r="S270" s="7">
        <v>82.994923857868017</v>
      </c>
      <c r="T270" s="7">
        <v>67.945205479452056</v>
      </c>
      <c r="U270" s="15">
        <f t="shared" si="14"/>
        <v>2</v>
      </c>
    </row>
    <row r="271" spans="1:21" ht="18.75" customHeight="1">
      <c r="A271" s="16">
        <v>276</v>
      </c>
      <c r="B271" s="3">
        <v>27</v>
      </c>
      <c r="C271" s="4" t="s">
        <v>297</v>
      </c>
      <c r="D271" s="9" t="s">
        <v>441</v>
      </c>
      <c r="E271" s="5" t="s">
        <v>271</v>
      </c>
      <c r="F271" s="6">
        <v>319</v>
      </c>
      <c r="G271" s="6">
        <v>1686</v>
      </c>
      <c r="H271" s="6">
        <v>862</v>
      </c>
      <c r="I271" s="6">
        <v>824</v>
      </c>
      <c r="J271" s="17">
        <f t="shared" si="12"/>
        <v>955.91647331786544</v>
      </c>
      <c r="K271" s="6">
        <v>247</v>
      </c>
      <c r="L271" s="6">
        <v>118</v>
      </c>
      <c r="M271" s="6">
        <v>129</v>
      </c>
      <c r="N271" s="7">
        <f t="shared" si="13"/>
        <v>14.650059311981019</v>
      </c>
      <c r="O271" s="6">
        <v>1029</v>
      </c>
      <c r="P271" s="6">
        <v>567</v>
      </c>
      <c r="Q271" s="6">
        <v>462</v>
      </c>
      <c r="R271" s="7">
        <v>70.334928229665067</v>
      </c>
      <c r="S271" s="7">
        <v>76.72530446549392</v>
      </c>
      <c r="T271" s="7">
        <v>63.812154696132595</v>
      </c>
      <c r="U271" s="15">
        <f t="shared" si="14"/>
        <v>1</v>
      </c>
    </row>
    <row r="272" spans="1:21" ht="18.75" customHeight="1">
      <c r="A272" s="16">
        <v>277</v>
      </c>
      <c r="B272" s="3">
        <v>28</v>
      </c>
      <c r="C272" s="4" t="s">
        <v>298</v>
      </c>
      <c r="D272" s="9" t="s">
        <v>441</v>
      </c>
      <c r="E272" s="5" t="s">
        <v>271</v>
      </c>
      <c r="F272" s="6">
        <v>232</v>
      </c>
      <c r="G272" s="6">
        <v>1166</v>
      </c>
      <c r="H272" s="6">
        <v>649</v>
      </c>
      <c r="I272" s="6">
        <v>517</v>
      </c>
      <c r="J272" s="17">
        <f t="shared" si="12"/>
        <v>796.61016949152543</v>
      </c>
      <c r="K272" s="6">
        <v>53</v>
      </c>
      <c r="L272" s="6">
        <v>25</v>
      </c>
      <c r="M272" s="6">
        <v>28</v>
      </c>
      <c r="N272" s="7">
        <f t="shared" si="13"/>
        <v>4.5454545454545459</v>
      </c>
      <c r="O272" s="6">
        <v>648</v>
      </c>
      <c r="P272" s="6">
        <v>376</v>
      </c>
      <c r="Q272" s="6">
        <v>272</v>
      </c>
      <c r="R272" s="7">
        <v>64.413518886679924</v>
      </c>
      <c r="S272" s="7">
        <v>66.666666666666657</v>
      </c>
      <c r="T272" s="7">
        <v>61.53846153846154</v>
      </c>
      <c r="U272" s="15">
        <f t="shared" si="14"/>
        <v>3</v>
      </c>
    </row>
    <row r="273" spans="1:21" ht="18.75" customHeight="1">
      <c r="A273" s="16">
        <v>278</v>
      </c>
      <c r="B273" s="3">
        <v>29</v>
      </c>
      <c r="C273" s="4" t="s">
        <v>299</v>
      </c>
      <c r="D273" s="9" t="s">
        <v>441</v>
      </c>
      <c r="E273" s="5" t="s">
        <v>271</v>
      </c>
      <c r="F273" s="6">
        <v>327</v>
      </c>
      <c r="G273" s="6">
        <v>1910</v>
      </c>
      <c r="H273" s="6">
        <v>1007</v>
      </c>
      <c r="I273" s="6">
        <v>903</v>
      </c>
      <c r="J273" s="17">
        <f t="shared" si="12"/>
        <v>896.72293942403178</v>
      </c>
      <c r="K273" s="6">
        <v>718</v>
      </c>
      <c r="L273" s="6">
        <v>391</v>
      </c>
      <c r="M273" s="6">
        <v>327</v>
      </c>
      <c r="N273" s="7">
        <f t="shared" si="13"/>
        <v>37.59162303664921</v>
      </c>
      <c r="O273" s="6">
        <v>988</v>
      </c>
      <c r="P273" s="6">
        <v>588</v>
      </c>
      <c r="Q273" s="6">
        <v>400</v>
      </c>
      <c r="R273" s="7">
        <v>59.697885196374621</v>
      </c>
      <c r="S273" s="7">
        <v>67.89838337182448</v>
      </c>
      <c r="T273" s="7">
        <v>50.697084917617239</v>
      </c>
      <c r="U273" s="15">
        <f t="shared" si="14"/>
        <v>2</v>
      </c>
    </row>
    <row r="274" spans="1:21" ht="18.75" customHeight="1">
      <c r="A274" s="16">
        <v>279</v>
      </c>
      <c r="B274" s="3">
        <v>30</v>
      </c>
      <c r="C274" s="4" t="s">
        <v>300</v>
      </c>
      <c r="D274" s="9" t="s">
        <v>441</v>
      </c>
      <c r="E274" s="5" t="s">
        <v>271</v>
      </c>
      <c r="F274" s="6">
        <v>684</v>
      </c>
      <c r="G274" s="6">
        <v>3501</v>
      </c>
      <c r="H274" s="6">
        <v>1761</v>
      </c>
      <c r="I274" s="6">
        <v>1740</v>
      </c>
      <c r="J274" s="17">
        <f t="shared" si="12"/>
        <v>988.07495741056221</v>
      </c>
      <c r="K274" s="6">
        <v>1137</v>
      </c>
      <c r="L274" s="6">
        <v>586</v>
      </c>
      <c r="M274" s="6">
        <v>551</v>
      </c>
      <c r="N274" s="7">
        <f t="shared" si="13"/>
        <v>32.476435304198802</v>
      </c>
      <c r="O274" s="6">
        <v>1956</v>
      </c>
      <c r="P274" s="6">
        <v>1075</v>
      </c>
      <c r="Q274" s="6">
        <v>881</v>
      </c>
      <c r="R274" s="7">
        <v>63.506493506493513</v>
      </c>
      <c r="S274" s="7">
        <v>70.261437908496731</v>
      </c>
      <c r="T274" s="7">
        <v>56.838709677419352</v>
      </c>
      <c r="U274" s="15">
        <f t="shared" si="14"/>
        <v>1</v>
      </c>
    </row>
    <row r="275" spans="1:21" ht="18.75" customHeight="1">
      <c r="A275" s="16">
        <v>280</v>
      </c>
      <c r="B275" s="3">
        <v>31</v>
      </c>
      <c r="C275" s="4" t="s">
        <v>301</v>
      </c>
      <c r="D275" s="9" t="s">
        <v>441</v>
      </c>
      <c r="E275" s="5" t="s">
        <v>271</v>
      </c>
      <c r="F275" s="6">
        <v>482</v>
      </c>
      <c r="G275" s="6">
        <v>2467</v>
      </c>
      <c r="H275" s="6">
        <v>1294</v>
      </c>
      <c r="I275" s="6">
        <v>1173</v>
      </c>
      <c r="J275" s="17">
        <f t="shared" si="12"/>
        <v>906.49149922720255</v>
      </c>
      <c r="K275" s="6">
        <v>128</v>
      </c>
      <c r="L275" s="6">
        <v>66</v>
      </c>
      <c r="M275" s="6">
        <v>62</v>
      </c>
      <c r="N275" s="7">
        <f t="shared" si="13"/>
        <v>5.1884880421564654</v>
      </c>
      <c r="O275" s="6">
        <v>1521</v>
      </c>
      <c r="P275" s="6">
        <v>879</v>
      </c>
      <c r="Q275" s="6">
        <v>642</v>
      </c>
      <c r="R275" s="7">
        <v>70.319001386962555</v>
      </c>
      <c r="S275" s="7">
        <v>78.552278820375335</v>
      </c>
      <c r="T275" s="7">
        <v>61.494252873563212</v>
      </c>
      <c r="U275" s="15">
        <f t="shared" si="14"/>
        <v>1</v>
      </c>
    </row>
    <row r="276" spans="1:21" ht="18.75" customHeight="1">
      <c r="A276" s="16">
        <v>281</v>
      </c>
      <c r="B276" s="3">
        <v>32</v>
      </c>
      <c r="C276" s="4" t="s">
        <v>302</v>
      </c>
      <c r="D276" s="9" t="s">
        <v>441</v>
      </c>
      <c r="E276" s="5" t="s">
        <v>271</v>
      </c>
      <c r="F276" s="6">
        <v>427</v>
      </c>
      <c r="G276" s="6">
        <v>2199</v>
      </c>
      <c r="H276" s="6">
        <v>1162</v>
      </c>
      <c r="I276" s="6">
        <v>1037</v>
      </c>
      <c r="J276" s="17">
        <f t="shared" si="12"/>
        <v>892.42685025817559</v>
      </c>
      <c r="K276" s="6">
        <v>794</v>
      </c>
      <c r="L276" s="6">
        <v>424</v>
      </c>
      <c r="M276" s="6">
        <v>370</v>
      </c>
      <c r="N276" s="7">
        <f t="shared" si="13"/>
        <v>36.107321509777172</v>
      </c>
      <c r="O276" s="6">
        <v>1305</v>
      </c>
      <c r="P276" s="6">
        <v>737</v>
      </c>
      <c r="Q276" s="6">
        <v>568</v>
      </c>
      <c r="R276" s="7">
        <v>68.539915966386559</v>
      </c>
      <c r="S276" s="7">
        <v>73.921765295887667</v>
      </c>
      <c r="T276" s="7">
        <v>62.624035281146639</v>
      </c>
      <c r="U276" s="15">
        <f t="shared" si="14"/>
        <v>2</v>
      </c>
    </row>
    <row r="277" spans="1:21" ht="18.75" customHeight="1">
      <c r="A277" s="16">
        <v>282</v>
      </c>
      <c r="B277" s="3">
        <v>33</v>
      </c>
      <c r="C277" s="4" t="s">
        <v>303</v>
      </c>
      <c r="D277" s="9" t="s">
        <v>441</v>
      </c>
      <c r="E277" s="5" t="s">
        <v>271</v>
      </c>
      <c r="F277" s="6">
        <v>408</v>
      </c>
      <c r="G277" s="6">
        <v>2134</v>
      </c>
      <c r="H277" s="6">
        <v>1134</v>
      </c>
      <c r="I277" s="6">
        <v>1000</v>
      </c>
      <c r="J277" s="17">
        <f t="shared" si="12"/>
        <v>881.83421516754845</v>
      </c>
      <c r="K277" s="6">
        <v>327</v>
      </c>
      <c r="L277" s="6">
        <v>185</v>
      </c>
      <c r="M277" s="6">
        <v>142</v>
      </c>
      <c r="N277" s="7">
        <f t="shared" si="13"/>
        <v>15.323336457357076</v>
      </c>
      <c r="O277" s="6">
        <v>1281</v>
      </c>
      <c r="P277" s="6">
        <v>766</v>
      </c>
      <c r="Q277" s="6">
        <v>515</v>
      </c>
      <c r="R277" s="7">
        <v>70.423309510720173</v>
      </c>
      <c r="S277" s="7">
        <v>79.708636836628514</v>
      </c>
      <c r="T277" s="7">
        <v>60.023310023310032</v>
      </c>
      <c r="U277" s="15">
        <f t="shared" si="14"/>
        <v>2</v>
      </c>
    </row>
    <row r="278" spans="1:21" ht="18.75" customHeight="1">
      <c r="A278" s="16">
        <v>283</v>
      </c>
      <c r="B278" s="3">
        <v>34</v>
      </c>
      <c r="C278" s="4" t="s">
        <v>304</v>
      </c>
      <c r="D278" s="9" t="s">
        <v>441</v>
      </c>
      <c r="E278" s="5" t="s">
        <v>271</v>
      </c>
      <c r="F278" s="6">
        <v>403</v>
      </c>
      <c r="G278" s="6">
        <v>2115</v>
      </c>
      <c r="H278" s="6">
        <v>1097</v>
      </c>
      <c r="I278" s="6">
        <v>1018</v>
      </c>
      <c r="J278" s="17">
        <f t="shared" si="12"/>
        <v>927.98541476754781</v>
      </c>
      <c r="K278" s="6">
        <v>581</v>
      </c>
      <c r="L278" s="6">
        <v>298</v>
      </c>
      <c r="M278" s="6">
        <v>283</v>
      </c>
      <c r="N278" s="7">
        <f t="shared" si="13"/>
        <v>27.470449172576831</v>
      </c>
      <c r="O278" s="6">
        <v>1303</v>
      </c>
      <c r="P278" s="6">
        <v>745</v>
      </c>
      <c r="Q278" s="6">
        <v>558</v>
      </c>
      <c r="R278" s="7">
        <v>70.318402590393958</v>
      </c>
      <c r="S278" s="7">
        <v>77.928870292887026</v>
      </c>
      <c r="T278" s="7">
        <v>62.207357859531776</v>
      </c>
      <c r="U278" s="15">
        <f t="shared" si="14"/>
        <v>1</v>
      </c>
    </row>
    <row r="279" spans="1:21" ht="18.75" customHeight="1">
      <c r="A279" s="16">
        <v>284</v>
      </c>
      <c r="B279" s="3">
        <v>35</v>
      </c>
      <c r="C279" s="4" t="s">
        <v>305</v>
      </c>
      <c r="D279" s="9" t="s">
        <v>441</v>
      </c>
      <c r="E279" s="5" t="s">
        <v>271</v>
      </c>
      <c r="F279" s="6">
        <v>234</v>
      </c>
      <c r="G279" s="6">
        <v>1141</v>
      </c>
      <c r="H279" s="6">
        <v>578</v>
      </c>
      <c r="I279" s="6">
        <v>563</v>
      </c>
      <c r="J279" s="17">
        <f t="shared" si="12"/>
        <v>974.04844290657445</v>
      </c>
      <c r="K279" s="6">
        <v>298</v>
      </c>
      <c r="L279" s="6">
        <v>162</v>
      </c>
      <c r="M279" s="6">
        <v>136</v>
      </c>
      <c r="N279" s="7">
        <f t="shared" si="13"/>
        <v>26.117440841367223</v>
      </c>
      <c r="O279" s="6">
        <v>699</v>
      </c>
      <c r="P279" s="6">
        <v>362</v>
      </c>
      <c r="Q279" s="6">
        <v>337</v>
      </c>
      <c r="R279" s="7">
        <v>71.036585365853654</v>
      </c>
      <c r="S279" s="7">
        <v>75.103734439834028</v>
      </c>
      <c r="T279" s="7">
        <v>67.13147410358566</v>
      </c>
      <c r="U279" s="15">
        <f t="shared" si="14"/>
        <v>1</v>
      </c>
    </row>
    <row r="280" spans="1:21" ht="18.75" customHeight="1">
      <c r="A280" s="16">
        <v>285</v>
      </c>
      <c r="B280" s="3">
        <v>36</v>
      </c>
      <c r="C280" s="4" t="s">
        <v>306</v>
      </c>
      <c r="D280" s="9" t="s">
        <v>441</v>
      </c>
      <c r="E280" s="5" t="s">
        <v>271</v>
      </c>
      <c r="F280" s="6">
        <v>65</v>
      </c>
      <c r="G280" s="6">
        <v>393</v>
      </c>
      <c r="H280" s="6">
        <v>198</v>
      </c>
      <c r="I280" s="6">
        <v>195</v>
      </c>
      <c r="J280" s="17">
        <f t="shared" si="12"/>
        <v>984.84848484848487</v>
      </c>
      <c r="K280" s="6">
        <v>19</v>
      </c>
      <c r="L280" s="6">
        <v>10</v>
      </c>
      <c r="M280" s="6">
        <v>9</v>
      </c>
      <c r="N280" s="7">
        <f t="shared" si="13"/>
        <v>4.8346055979643765</v>
      </c>
      <c r="O280" s="6">
        <v>241</v>
      </c>
      <c r="P280" s="6">
        <v>137</v>
      </c>
      <c r="Q280" s="6">
        <v>104</v>
      </c>
      <c r="R280" s="7">
        <v>70.882352941176478</v>
      </c>
      <c r="S280" s="7">
        <v>80.588235294117652</v>
      </c>
      <c r="T280" s="7">
        <v>61.176470588235297</v>
      </c>
      <c r="U280" s="15">
        <f t="shared" si="14"/>
        <v>1</v>
      </c>
    </row>
    <row r="281" spans="1:21" ht="18.75" customHeight="1">
      <c r="A281" s="16">
        <v>286</v>
      </c>
      <c r="B281" s="3">
        <v>37</v>
      </c>
      <c r="C281" s="4" t="s">
        <v>307</v>
      </c>
      <c r="D281" s="9" t="s">
        <v>441</v>
      </c>
      <c r="E281" s="5" t="s">
        <v>271</v>
      </c>
      <c r="F281" s="6">
        <v>928</v>
      </c>
      <c r="G281" s="6">
        <v>4705</v>
      </c>
      <c r="H281" s="6">
        <v>2484</v>
      </c>
      <c r="I281" s="6">
        <v>2221</v>
      </c>
      <c r="J281" s="17">
        <f t="shared" si="12"/>
        <v>894.12238325281805</v>
      </c>
      <c r="K281" s="6">
        <v>1092</v>
      </c>
      <c r="L281" s="6">
        <v>591</v>
      </c>
      <c r="M281" s="6">
        <v>501</v>
      </c>
      <c r="N281" s="7">
        <f t="shared" si="13"/>
        <v>23.20935175345377</v>
      </c>
      <c r="O281" s="6">
        <v>2789</v>
      </c>
      <c r="P281" s="6">
        <v>1625</v>
      </c>
      <c r="Q281" s="6">
        <v>1164</v>
      </c>
      <c r="R281" s="7">
        <v>67.579355464017439</v>
      </c>
      <c r="S281" s="7">
        <v>75.057736720554274</v>
      </c>
      <c r="T281" s="7">
        <v>59.327217125382262</v>
      </c>
      <c r="U281" s="15">
        <f t="shared" si="14"/>
        <v>2</v>
      </c>
    </row>
    <row r="282" spans="1:21" s="14" customFormat="1" ht="18.75" customHeight="1">
      <c r="A282" s="16">
        <v>287</v>
      </c>
      <c r="B282" s="3">
        <v>38</v>
      </c>
      <c r="C282" s="10" t="s">
        <v>308</v>
      </c>
      <c r="D282" s="9" t="s">
        <v>441</v>
      </c>
      <c r="E282" s="11" t="s">
        <v>271</v>
      </c>
      <c r="F282" s="12">
        <v>107</v>
      </c>
      <c r="G282" s="12">
        <v>503</v>
      </c>
      <c r="H282" s="12">
        <v>260</v>
      </c>
      <c r="I282" s="12">
        <v>243</v>
      </c>
      <c r="J282" s="18">
        <f t="shared" si="12"/>
        <v>934.61538461538464</v>
      </c>
      <c r="K282" s="12">
        <v>61</v>
      </c>
      <c r="L282" s="12">
        <v>40</v>
      </c>
      <c r="M282" s="12">
        <v>21</v>
      </c>
      <c r="N282" s="7">
        <f t="shared" si="13"/>
        <v>12.127236580516898</v>
      </c>
      <c r="O282" s="12">
        <v>284</v>
      </c>
      <c r="P282" s="12">
        <v>171</v>
      </c>
      <c r="Q282" s="12">
        <v>113</v>
      </c>
      <c r="R282" s="13">
        <v>64.840182648401822</v>
      </c>
      <c r="S282" s="13">
        <v>74.34782608695653</v>
      </c>
      <c r="T282" s="13">
        <v>54.326923076923073</v>
      </c>
      <c r="U282" s="15">
        <f t="shared" si="14"/>
        <v>1</v>
      </c>
    </row>
    <row r="283" spans="1:21" ht="18.75" customHeight="1">
      <c r="A283" s="16">
        <v>288</v>
      </c>
      <c r="B283" s="3">
        <v>39</v>
      </c>
      <c r="C283" s="4" t="s">
        <v>309</v>
      </c>
      <c r="D283" s="9" t="s">
        <v>441</v>
      </c>
      <c r="E283" s="5" t="s">
        <v>271</v>
      </c>
      <c r="F283" s="6">
        <v>181</v>
      </c>
      <c r="G283" s="6">
        <v>1014</v>
      </c>
      <c r="H283" s="6">
        <v>536</v>
      </c>
      <c r="I283" s="6">
        <v>478</v>
      </c>
      <c r="J283" s="17">
        <f t="shared" si="12"/>
        <v>891.79104477611941</v>
      </c>
      <c r="K283" s="6">
        <v>283</v>
      </c>
      <c r="L283" s="6">
        <v>149</v>
      </c>
      <c r="M283" s="6">
        <v>134</v>
      </c>
      <c r="N283" s="7">
        <f t="shared" si="13"/>
        <v>27.909270216962522</v>
      </c>
      <c r="O283" s="6">
        <v>615</v>
      </c>
      <c r="P283" s="6">
        <v>377</v>
      </c>
      <c r="Q283" s="6">
        <v>238</v>
      </c>
      <c r="R283" s="7">
        <v>69.334836527621192</v>
      </c>
      <c r="S283" s="7">
        <v>80.555555555555557</v>
      </c>
      <c r="T283" s="7">
        <v>56.801909307875896</v>
      </c>
      <c r="U283" s="15">
        <f t="shared" si="14"/>
        <v>2</v>
      </c>
    </row>
    <row r="284" spans="1:21" ht="18.75" customHeight="1">
      <c r="A284" s="16">
        <v>290</v>
      </c>
      <c r="B284" s="3">
        <v>41</v>
      </c>
      <c r="C284" s="4" t="s">
        <v>311</v>
      </c>
      <c r="D284" s="9" t="s">
        <v>441</v>
      </c>
      <c r="E284" s="5" t="s">
        <v>271</v>
      </c>
      <c r="F284" s="6">
        <v>452</v>
      </c>
      <c r="G284" s="6">
        <v>2412</v>
      </c>
      <c r="H284" s="6">
        <v>1280</v>
      </c>
      <c r="I284" s="6">
        <v>1132</v>
      </c>
      <c r="J284" s="17">
        <f t="shared" si="12"/>
        <v>884.375</v>
      </c>
      <c r="K284" s="6">
        <v>586</v>
      </c>
      <c r="L284" s="6">
        <v>323</v>
      </c>
      <c r="M284" s="6">
        <v>263</v>
      </c>
      <c r="N284" s="7">
        <f t="shared" si="13"/>
        <v>24.29519071310116</v>
      </c>
      <c r="O284" s="6">
        <v>1340</v>
      </c>
      <c r="P284" s="6">
        <v>820</v>
      </c>
      <c r="Q284" s="6">
        <v>520</v>
      </c>
      <c r="R284" s="7">
        <v>64.05353728489483</v>
      </c>
      <c r="S284" s="7">
        <v>73.741007194244602</v>
      </c>
      <c r="T284" s="7">
        <v>53.061224489795919</v>
      </c>
      <c r="U284" s="15">
        <f t="shared" si="14"/>
        <v>2</v>
      </c>
    </row>
    <row r="285" spans="1:21" ht="18.75" customHeight="1">
      <c r="A285" s="16">
        <v>292</v>
      </c>
      <c r="B285" s="3">
        <v>43</v>
      </c>
      <c r="C285" s="4" t="s">
        <v>313</v>
      </c>
      <c r="D285" s="9" t="s">
        <v>441</v>
      </c>
      <c r="E285" s="5" t="s">
        <v>271</v>
      </c>
      <c r="F285" s="6">
        <v>324</v>
      </c>
      <c r="G285" s="6">
        <v>1743</v>
      </c>
      <c r="H285" s="6">
        <v>922</v>
      </c>
      <c r="I285" s="6">
        <v>821</v>
      </c>
      <c r="J285" s="17">
        <f t="shared" si="12"/>
        <v>890.45553145336225</v>
      </c>
      <c r="K285" s="6">
        <v>206</v>
      </c>
      <c r="L285" s="6">
        <v>104</v>
      </c>
      <c r="M285" s="6">
        <v>102</v>
      </c>
      <c r="N285" s="7">
        <f t="shared" si="13"/>
        <v>11.818703384968446</v>
      </c>
      <c r="O285" s="6">
        <v>951</v>
      </c>
      <c r="P285" s="6">
        <v>555</v>
      </c>
      <c r="Q285" s="6">
        <v>396</v>
      </c>
      <c r="R285" s="7">
        <v>62.980132450331126</v>
      </c>
      <c r="S285" s="7">
        <v>70.520965692503182</v>
      </c>
      <c r="T285" s="7">
        <v>54.77178423236515</v>
      </c>
      <c r="U285" s="15">
        <f t="shared" si="14"/>
        <v>2</v>
      </c>
    </row>
    <row r="286" spans="1:21" ht="18.75" customHeight="1">
      <c r="A286" s="16">
        <v>293</v>
      </c>
      <c r="B286" s="3">
        <v>44</v>
      </c>
      <c r="C286" s="4" t="s">
        <v>314</v>
      </c>
      <c r="D286" s="9" t="s">
        <v>441</v>
      </c>
      <c r="E286" s="5" t="s">
        <v>271</v>
      </c>
      <c r="F286" s="6">
        <v>328</v>
      </c>
      <c r="G286" s="6">
        <v>1916</v>
      </c>
      <c r="H286" s="6">
        <v>981</v>
      </c>
      <c r="I286" s="6">
        <v>935</v>
      </c>
      <c r="J286" s="17">
        <f t="shared" si="12"/>
        <v>953.10907237512743</v>
      </c>
      <c r="K286" s="6">
        <v>686</v>
      </c>
      <c r="L286" s="6">
        <v>351</v>
      </c>
      <c r="M286" s="6">
        <v>335</v>
      </c>
      <c r="N286" s="7">
        <f t="shared" si="13"/>
        <v>35.803757828810021</v>
      </c>
      <c r="O286" s="6">
        <v>1087</v>
      </c>
      <c r="P286" s="6">
        <v>645</v>
      </c>
      <c r="Q286" s="6">
        <v>442</v>
      </c>
      <c r="R286" s="7">
        <v>68.022528160200253</v>
      </c>
      <c r="S286" s="7">
        <v>77.804583835946929</v>
      </c>
      <c r="T286" s="7">
        <v>57.477243172951887</v>
      </c>
      <c r="U286" s="15">
        <f t="shared" si="14"/>
        <v>1</v>
      </c>
    </row>
    <row r="287" spans="1:21" ht="18.75" customHeight="1">
      <c r="A287" s="16">
        <v>294</v>
      </c>
      <c r="B287" s="3">
        <v>45</v>
      </c>
      <c r="C287" s="4" t="s">
        <v>315</v>
      </c>
      <c r="D287" s="9" t="s">
        <v>441</v>
      </c>
      <c r="E287" s="5" t="s">
        <v>271</v>
      </c>
      <c r="F287" s="6">
        <v>359</v>
      </c>
      <c r="G287" s="6">
        <v>1876</v>
      </c>
      <c r="H287" s="6">
        <v>1009</v>
      </c>
      <c r="I287" s="6">
        <v>867</v>
      </c>
      <c r="J287" s="17">
        <f t="shared" si="12"/>
        <v>859.26660059464825</v>
      </c>
      <c r="K287" s="6">
        <v>426</v>
      </c>
      <c r="L287" s="6">
        <v>225</v>
      </c>
      <c r="M287" s="6">
        <v>201</v>
      </c>
      <c r="N287" s="7">
        <f t="shared" si="13"/>
        <v>22.707889125799575</v>
      </c>
      <c r="O287" s="6">
        <v>1176</v>
      </c>
      <c r="P287" s="6">
        <v>710</v>
      </c>
      <c r="Q287" s="6">
        <v>466</v>
      </c>
      <c r="R287" s="7">
        <v>70.758122743682307</v>
      </c>
      <c r="S287" s="7">
        <v>79.507278835386344</v>
      </c>
      <c r="T287" s="7">
        <v>60.598179453836153</v>
      </c>
      <c r="U287" s="15">
        <f t="shared" si="14"/>
        <v>2</v>
      </c>
    </row>
    <row r="288" spans="1:21" ht="18.75" customHeight="1">
      <c r="A288" s="16">
        <v>295</v>
      </c>
      <c r="B288" s="3">
        <v>46</v>
      </c>
      <c r="C288" s="4" t="s">
        <v>316</v>
      </c>
      <c r="D288" s="9" t="s">
        <v>441</v>
      </c>
      <c r="E288" s="5" t="s">
        <v>271</v>
      </c>
      <c r="F288" s="6">
        <v>651</v>
      </c>
      <c r="G288" s="6">
        <v>3166</v>
      </c>
      <c r="H288" s="6">
        <v>1636</v>
      </c>
      <c r="I288" s="6">
        <v>1530</v>
      </c>
      <c r="J288" s="17">
        <f t="shared" si="12"/>
        <v>935.20782396088021</v>
      </c>
      <c r="K288" s="6">
        <v>1186</v>
      </c>
      <c r="L288" s="6">
        <v>606</v>
      </c>
      <c r="M288" s="6">
        <v>580</v>
      </c>
      <c r="N288" s="7">
        <f t="shared" si="13"/>
        <v>37.46051800379027</v>
      </c>
      <c r="O288" s="6">
        <v>2009</v>
      </c>
      <c r="P288" s="6">
        <v>1120</v>
      </c>
      <c r="Q288" s="6">
        <v>889</v>
      </c>
      <c r="R288" s="7">
        <v>72.266187050359704</v>
      </c>
      <c r="S288" s="7">
        <v>78.541374474053299</v>
      </c>
      <c r="T288" s="7">
        <v>65.657311669128504</v>
      </c>
      <c r="U288" s="15">
        <f t="shared" si="14"/>
        <v>1</v>
      </c>
    </row>
    <row r="289" spans="1:21" ht="18.75" customHeight="1">
      <c r="A289" s="16">
        <v>296</v>
      </c>
      <c r="B289" s="3">
        <v>47</v>
      </c>
      <c r="C289" s="4" t="s">
        <v>317</v>
      </c>
      <c r="D289" s="9" t="s">
        <v>441</v>
      </c>
      <c r="E289" s="5" t="s">
        <v>271</v>
      </c>
      <c r="F289" s="6">
        <v>199</v>
      </c>
      <c r="G289" s="6">
        <v>1159</v>
      </c>
      <c r="H289" s="6">
        <v>603</v>
      </c>
      <c r="I289" s="6">
        <v>556</v>
      </c>
      <c r="J289" s="17">
        <f t="shared" si="12"/>
        <v>922.05638474295188</v>
      </c>
      <c r="K289" s="6">
        <v>117</v>
      </c>
      <c r="L289" s="6">
        <v>57</v>
      </c>
      <c r="M289" s="6">
        <v>60</v>
      </c>
      <c r="N289" s="7">
        <f t="shared" si="13"/>
        <v>10.094909404659189</v>
      </c>
      <c r="O289" s="6">
        <v>744</v>
      </c>
      <c r="P289" s="6">
        <v>417</v>
      </c>
      <c r="Q289" s="6">
        <v>327</v>
      </c>
      <c r="R289" s="7">
        <v>73.445212240868713</v>
      </c>
      <c r="S289" s="7">
        <v>80.813953488372093</v>
      </c>
      <c r="T289" s="7">
        <v>65.794768611670023</v>
      </c>
      <c r="U289" s="15">
        <f t="shared" si="14"/>
        <v>1</v>
      </c>
    </row>
    <row r="290" spans="1:21" ht="18.75" customHeight="1">
      <c r="A290" s="16">
        <v>297</v>
      </c>
      <c r="B290" s="3">
        <v>48</v>
      </c>
      <c r="C290" s="4" t="s">
        <v>318</v>
      </c>
      <c r="D290" s="9" t="s">
        <v>441</v>
      </c>
      <c r="E290" s="5" t="s">
        <v>271</v>
      </c>
      <c r="F290" s="6">
        <v>1185</v>
      </c>
      <c r="G290" s="6">
        <v>6394</v>
      </c>
      <c r="H290" s="6">
        <v>3350</v>
      </c>
      <c r="I290" s="6">
        <v>3044</v>
      </c>
      <c r="J290" s="17">
        <f t="shared" si="12"/>
        <v>908.6567164179105</v>
      </c>
      <c r="K290" s="6">
        <v>1037</v>
      </c>
      <c r="L290" s="6">
        <v>522</v>
      </c>
      <c r="M290" s="6">
        <v>515</v>
      </c>
      <c r="N290" s="7">
        <f t="shared" si="13"/>
        <v>16.218329684078824</v>
      </c>
      <c r="O290" s="6">
        <v>3798</v>
      </c>
      <c r="P290" s="6">
        <v>2298</v>
      </c>
      <c r="Q290" s="6">
        <v>1500</v>
      </c>
      <c r="R290" s="7">
        <v>68.854242204496003</v>
      </c>
      <c r="S290" s="7">
        <v>79.958246346555327</v>
      </c>
      <c r="T290" s="7">
        <v>56.775170325510985</v>
      </c>
      <c r="U290" s="15">
        <f t="shared" si="14"/>
        <v>1</v>
      </c>
    </row>
    <row r="291" spans="1:21" ht="18.75" customHeight="1">
      <c r="A291" s="16">
        <v>298</v>
      </c>
      <c r="B291" s="3">
        <v>49</v>
      </c>
      <c r="C291" s="4" t="s">
        <v>319</v>
      </c>
      <c r="D291" s="9" t="s">
        <v>441</v>
      </c>
      <c r="E291" s="5" t="s">
        <v>271</v>
      </c>
      <c r="F291" s="6">
        <v>777</v>
      </c>
      <c r="G291" s="6">
        <v>3731</v>
      </c>
      <c r="H291" s="6">
        <v>1942</v>
      </c>
      <c r="I291" s="6">
        <v>1789</v>
      </c>
      <c r="J291" s="17">
        <f t="shared" si="12"/>
        <v>921.21524201853754</v>
      </c>
      <c r="K291" s="6">
        <v>600</v>
      </c>
      <c r="L291" s="6">
        <v>310</v>
      </c>
      <c r="M291" s="6">
        <v>290</v>
      </c>
      <c r="N291" s="7">
        <f t="shared" si="13"/>
        <v>16.081479496113644</v>
      </c>
      <c r="O291" s="6">
        <v>2300</v>
      </c>
      <c r="P291" s="6">
        <v>1346</v>
      </c>
      <c r="Q291" s="6">
        <v>954</v>
      </c>
      <c r="R291" s="7">
        <v>71.89746795873711</v>
      </c>
      <c r="S291" s="7">
        <v>80.358208955223873</v>
      </c>
      <c r="T291" s="7">
        <v>62.598425196850393</v>
      </c>
      <c r="U291" s="15">
        <f t="shared" si="14"/>
        <v>1</v>
      </c>
    </row>
    <row r="292" spans="1:21" ht="18.75" customHeight="1">
      <c r="A292" s="16">
        <v>299</v>
      </c>
      <c r="B292" s="3">
        <v>50</v>
      </c>
      <c r="C292" s="4" t="s">
        <v>320</v>
      </c>
      <c r="D292" s="9" t="s">
        <v>441</v>
      </c>
      <c r="E292" s="5" t="s">
        <v>271</v>
      </c>
      <c r="F292" s="6">
        <v>237</v>
      </c>
      <c r="G292" s="6">
        <v>1025</v>
      </c>
      <c r="H292" s="6">
        <v>488</v>
      </c>
      <c r="I292" s="6">
        <v>537</v>
      </c>
      <c r="J292" s="17">
        <f t="shared" si="12"/>
        <v>1100.4098360655739</v>
      </c>
      <c r="K292" s="6">
        <v>224</v>
      </c>
      <c r="L292" s="6">
        <v>117</v>
      </c>
      <c r="M292" s="6">
        <v>107</v>
      </c>
      <c r="N292" s="7">
        <f t="shared" si="13"/>
        <v>21.853658536585368</v>
      </c>
      <c r="O292" s="6">
        <v>647</v>
      </c>
      <c r="P292" s="6">
        <v>335</v>
      </c>
      <c r="Q292" s="6">
        <v>312</v>
      </c>
      <c r="R292" s="7">
        <v>70.787746170678332</v>
      </c>
      <c r="S292" s="7">
        <v>77.726218097447799</v>
      </c>
      <c r="T292" s="7">
        <v>64.596273291925471</v>
      </c>
      <c r="U292" s="15">
        <f t="shared" si="14"/>
        <v>1</v>
      </c>
    </row>
    <row r="293" spans="1:21" ht="18.75" customHeight="1">
      <c r="A293" s="16">
        <v>300</v>
      </c>
      <c r="B293" s="3">
        <v>51</v>
      </c>
      <c r="C293" s="4" t="s">
        <v>321</v>
      </c>
      <c r="D293" s="9" t="s">
        <v>441</v>
      </c>
      <c r="E293" s="5" t="s">
        <v>271</v>
      </c>
      <c r="F293" s="6">
        <v>395</v>
      </c>
      <c r="G293" s="6">
        <v>2137</v>
      </c>
      <c r="H293" s="6">
        <v>1125</v>
      </c>
      <c r="I293" s="6">
        <v>1012</v>
      </c>
      <c r="J293" s="17">
        <f t="shared" si="12"/>
        <v>899.55555555555554</v>
      </c>
      <c r="K293" s="6">
        <v>752</v>
      </c>
      <c r="L293" s="6">
        <v>393</v>
      </c>
      <c r="M293" s="6">
        <v>359</v>
      </c>
      <c r="N293" s="7">
        <f t="shared" si="13"/>
        <v>35.189518015910153</v>
      </c>
      <c r="O293" s="6">
        <v>1199</v>
      </c>
      <c r="P293" s="6">
        <v>713</v>
      </c>
      <c r="Q293" s="6">
        <v>486</v>
      </c>
      <c r="R293" s="7">
        <v>65.447598253275103</v>
      </c>
      <c r="S293" s="7">
        <v>74.816369359916052</v>
      </c>
      <c r="T293" s="7">
        <v>55.290102389078498</v>
      </c>
      <c r="U293" s="15">
        <f t="shared" si="14"/>
        <v>2</v>
      </c>
    </row>
    <row r="294" spans="1:21" ht="18.75" customHeight="1">
      <c r="A294" s="16">
        <v>301</v>
      </c>
      <c r="B294" s="3">
        <v>52</v>
      </c>
      <c r="C294" s="4" t="s">
        <v>322</v>
      </c>
      <c r="D294" s="9" t="s">
        <v>441</v>
      </c>
      <c r="E294" s="5" t="s">
        <v>271</v>
      </c>
      <c r="F294" s="6">
        <v>168</v>
      </c>
      <c r="G294" s="6">
        <v>877</v>
      </c>
      <c r="H294" s="6">
        <v>438</v>
      </c>
      <c r="I294" s="6">
        <v>439</v>
      </c>
      <c r="J294" s="17">
        <f t="shared" si="12"/>
        <v>1002.2831050228311</v>
      </c>
      <c r="K294" s="6">
        <v>210</v>
      </c>
      <c r="L294" s="6">
        <v>101</v>
      </c>
      <c r="M294" s="6">
        <v>109</v>
      </c>
      <c r="N294" s="7">
        <f t="shared" si="13"/>
        <v>23.945267958950968</v>
      </c>
      <c r="O294" s="6">
        <v>474</v>
      </c>
      <c r="P294" s="6">
        <v>269</v>
      </c>
      <c r="Q294" s="6">
        <v>205</v>
      </c>
      <c r="R294" s="7">
        <v>63.70967741935484</v>
      </c>
      <c r="S294" s="7">
        <v>72.311827956989248</v>
      </c>
      <c r="T294" s="7">
        <v>55.107526881720425</v>
      </c>
      <c r="U294" s="15">
        <f t="shared" si="14"/>
        <v>1</v>
      </c>
    </row>
    <row r="295" spans="1:21" ht="18.75" customHeight="1">
      <c r="A295" s="16">
        <v>302</v>
      </c>
      <c r="B295" s="3">
        <v>53</v>
      </c>
      <c r="C295" s="4" t="s">
        <v>323</v>
      </c>
      <c r="D295" s="9" t="s">
        <v>441</v>
      </c>
      <c r="E295" s="5" t="s">
        <v>271</v>
      </c>
      <c r="F295" s="6">
        <v>1161</v>
      </c>
      <c r="G295" s="6">
        <v>5682</v>
      </c>
      <c r="H295" s="6">
        <v>2887</v>
      </c>
      <c r="I295" s="6">
        <v>2795</v>
      </c>
      <c r="J295" s="17">
        <f t="shared" si="12"/>
        <v>968.13301004502955</v>
      </c>
      <c r="K295" s="6">
        <v>2427</v>
      </c>
      <c r="L295" s="6">
        <v>1240</v>
      </c>
      <c r="M295" s="6">
        <v>1187</v>
      </c>
      <c r="N295" s="7">
        <f t="shared" si="13"/>
        <v>42.713833157338968</v>
      </c>
      <c r="O295" s="6">
        <v>3096</v>
      </c>
      <c r="P295" s="6">
        <v>1748</v>
      </c>
      <c r="Q295" s="6">
        <v>1348</v>
      </c>
      <c r="R295" s="7">
        <v>63.403645300020486</v>
      </c>
      <c r="S295" s="7">
        <v>71.114727420667208</v>
      </c>
      <c r="T295" s="7">
        <v>55.587628865979376</v>
      </c>
      <c r="U295" s="15">
        <f t="shared" si="14"/>
        <v>1</v>
      </c>
    </row>
    <row r="296" spans="1:21" ht="18.75" customHeight="1">
      <c r="A296" s="16">
        <v>303</v>
      </c>
      <c r="B296" s="3">
        <v>54</v>
      </c>
      <c r="C296" s="4" t="s">
        <v>324</v>
      </c>
      <c r="D296" s="9" t="s">
        <v>441</v>
      </c>
      <c r="E296" s="5" t="s">
        <v>271</v>
      </c>
      <c r="F296" s="6">
        <v>46</v>
      </c>
      <c r="G296" s="6">
        <v>234</v>
      </c>
      <c r="H296" s="6">
        <v>126</v>
      </c>
      <c r="I296" s="6">
        <v>108</v>
      </c>
      <c r="J296" s="17">
        <f t="shared" si="12"/>
        <v>857.14285714285711</v>
      </c>
      <c r="K296" s="6">
        <v>47</v>
      </c>
      <c r="L296" s="6">
        <v>22</v>
      </c>
      <c r="M296" s="6">
        <v>25</v>
      </c>
      <c r="N296" s="7">
        <f t="shared" si="13"/>
        <v>20.085470085470085</v>
      </c>
      <c r="O296" s="6">
        <v>163</v>
      </c>
      <c r="P296" s="6">
        <v>87</v>
      </c>
      <c r="Q296" s="6">
        <v>76</v>
      </c>
      <c r="R296" s="7">
        <v>75.813953488372093</v>
      </c>
      <c r="S296" s="7">
        <v>76.31578947368422</v>
      </c>
      <c r="T296" s="7">
        <v>75.247524752475243</v>
      </c>
      <c r="U296" s="15">
        <f t="shared" si="14"/>
        <v>2</v>
      </c>
    </row>
    <row r="297" spans="1:21" ht="18.75" customHeight="1">
      <c r="A297" s="16">
        <v>304</v>
      </c>
      <c r="B297" s="3">
        <v>55</v>
      </c>
      <c r="C297" s="4" t="s">
        <v>325</v>
      </c>
      <c r="D297" s="9" t="s">
        <v>441</v>
      </c>
      <c r="E297" s="5" t="s">
        <v>271</v>
      </c>
      <c r="F297" s="6">
        <v>184</v>
      </c>
      <c r="G297" s="6">
        <v>1114</v>
      </c>
      <c r="H297" s="6">
        <v>591</v>
      </c>
      <c r="I297" s="6">
        <v>523</v>
      </c>
      <c r="J297" s="17">
        <f t="shared" si="12"/>
        <v>884.94077834179348</v>
      </c>
      <c r="K297" s="6">
        <v>197</v>
      </c>
      <c r="L297" s="6">
        <v>102</v>
      </c>
      <c r="M297" s="6">
        <v>95</v>
      </c>
      <c r="N297" s="7">
        <f t="shared" si="13"/>
        <v>17.684021543985637</v>
      </c>
      <c r="O297" s="6">
        <v>686</v>
      </c>
      <c r="P297" s="6">
        <v>395</v>
      </c>
      <c r="Q297" s="6">
        <v>291</v>
      </c>
      <c r="R297" s="7">
        <v>69.64467005076142</v>
      </c>
      <c r="S297" s="7">
        <v>75.961538461538453</v>
      </c>
      <c r="T297" s="7">
        <v>62.580645161290327</v>
      </c>
      <c r="U297" s="15">
        <f t="shared" si="14"/>
        <v>2</v>
      </c>
    </row>
    <row r="298" spans="1:21" ht="18.75" customHeight="1">
      <c r="A298" s="16">
        <v>305</v>
      </c>
      <c r="B298" s="3">
        <v>56</v>
      </c>
      <c r="C298" s="4" t="s">
        <v>326</v>
      </c>
      <c r="D298" s="9" t="s">
        <v>441</v>
      </c>
      <c r="E298" s="5" t="s">
        <v>271</v>
      </c>
      <c r="F298" s="6">
        <v>28</v>
      </c>
      <c r="G298" s="6">
        <v>138</v>
      </c>
      <c r="H298" s="6">
        <v>66</v>
      </c>
      <c r="I298" s="6">
        <v>72</v>
      </c>
      <c r="J298" s="17">
        <f t="shared" si="12"/>
        <v>1090.9090909090908</v>
      </c>
      <c r="K298" s="6">
        <v>0</v>
      </c>
      <c r="L298" s="6">
        <v>0</v>
      </c>
      <c r="M298" s="6">
        <v>0</v>
      </c>
      <c r="N298" s="7">
        <f t="shared" si="13"/>
        <v>0</v>
      </c>
      <c r="O298" s="6">
        <v>89</v>
      </c>
      <c r="P298" s="6">
        <v>46</v>
      </c>
      <c r="Q298" s="6">
        <v>43</v>
      </c>
      <c r="R298" s="7">
        <v>74.166666666666671</v>
      </c>
      <c r="S298" s="7">
        <v>85.18518518518519</v>
      </c>
      <c r="T298" s="7">
        <v>65.151515151515156</v>
      </c>
      <c r="U298" s="15">
        <f t="shared" si="14"/>
        <v>1</v>
      </c>
    </row>
    <row r="299" spans="1:21" ht="18.75" customHeight="1">
      <c r="A299" s="16">
        <v>306</v>
      </c>
      <c r="B299" s="3">
        <v>57</v>
      </c>
      <c r="C299" s="4" t="s">
        <v>327</v>
      </c>
      <c r="D299" s="9" t="s">
        <v>441</v>
      </c>
      <c r="E299" s="5" t="s">
        <v>271</v>
      </c>
      <c r="F299" s="6">
        <v>325</v>
      </c>
      <c r="G299" s="6">
        <v>1616</v>
      </c>
      <c r="H299" s="6">
        <v>853</v>
      </c>
      <c r="I299" s="6">
        <v>763</v>
      </c>
      <c r="J299" s="17">
        <f t="shared" si="12"/>
        <v>894.49003516998823</v>
      </c>
      <c r="K299" s="6">
        <v>259</v>
      </c>
      <c r="L299" s="6">
        <v>138</v>
      </c>
      <c r="M299" s="6">
        <v>121</v>
      </c>
      <c r="N299" s="7">
        <f t="shared" si="13"/>
        <v>16.027227722772277</v>
      </c>
      <c r="O299" s="6">
        <v>1028</v>
      </c>
      <c r="P299" s="6">
        <v>573</v>
      </c>
      <c r="Q299" s="6">
        <v>455</v>
      </c>
      <c r="R299" s="7">
        <v>70.750172057811426</v>
      </c>
      <c r="S299" s="7">
        <v>75.593667546174132</v>
      </c>
      <c r="T299" s="7">
        <v>65.467625899280577</v>
      </c>
      <c r="U299" s="15">
        <f t="shared" si="14"/>
        <v>2</v>
      </c>
    </row>
    <row r="300" spans="1:21" ht="18.75" customHeight="1">
      <c r="A300" s="16">
        <v>307</v>
      </c>
      <c r="B300" s="3">
        <v>58</v>
      </c>
      <c r="C300" s="4" t="s">
        <v>328</v>
      </c>
      <c r="D300" s="9" t="s">
        <v>441</v>
      </c>
      <c r="E300" s="5" t="s">
        <v>271</v>
      </c>
      <c r="F300" s="6">
        <v>80</v>
      </c>
      <c r="G300" s="6">
        <v>472</v>
      </c>
      <c r="H300" s="6">
        <v>228</v>
      </c>
      <c r="I300" s="6">
        <v>244</v>
      </c>
      <c r="J300" s="17">
        <f t="shared" si="12"/>
        <v>1070.1754385964912</v>
      </c>
      <c r="K300" s="6">
        <v>66</v>
      </c>
      <c r="L300" s="6">
        <v>34</v>
      </c>
      <c r="M300" s="6">
        <v>32</v>
      </c>
      <c r="N300" s="7">
        <f t="shared" si="13"/>
        <v>13.983050847457626</v>
      </c>
      <c r="O300" s="6">
        <v>292</v>
      </c>
      <c r="P300" s="6">
        <v>165</v>
      </c>
      <c r="Q300" s="6">
        <v>127</v>
      </c>
      <c r="R300" s="7">
        <v>72.098765432098759</v>
      </c>
      <c r="S300" s="7">
        <v>83.756345177664969</v>
      </c>
      <c r="T300" s="7">
        <v>61.057692307692314</v>
      </c>
      <c r="U300" s="15">
        <f t="shared" si="14"/>
        <v>1</v>
      </c>
    </row>
    <row r="301" spans="1:21" ht="18.75" customHeight="1">
      <c r="A301" s="16">
        <v>308</v>
      </c>
      <c r="B301" s="3">
        <v>59</v>
      </c>
      <c r="C301" s="4" t="s">
        <v>329</v>
      </c>
      <c r="D301" s="9" t="s">
        <v>441</v>
      </c>
      <c r="E301" s="5" t="s">
        <v>271</v>
      </c>
      <c r="F301" s="6">
        <v>1256</v>
      </c>
      <c r="G301" s="6">
        <v>6625</v>
      </c>
      <c r="H301" s="6">
        <v>3499</v>
      </c>
      <c r="I301" s="6">
        <v>3126</v>
      </c>
      <c r="J301" s="17">
        <f t="shared" si="12"/>
        <v>893.39811374678482</v>
      </c>
      <c r="K301" s="6">
        <v>1911</v>
      </c>
      <c r="L301" s="6">
        <v>1016</v>
      </c>
      <c r="M301" s="6">
        <v>895</v>
      </c>
      <c r="N301" s="7">
        <f t="shared" si="13"/>
        <v>28.845283018867924</v>
      </c>
      <c r="O301" s="6">
        <v>3495</v>
      </c>
      <c r="P301" s="6">
        <v>2055</v>
      </c>
      <c r="Q301" s="6">
        <v>1440</v>
      </c>
      <c r="R301" s="7">
        <v>61.016061452513966</v>
      </c>
      <c r="S301" s="7">
        <v>68.249750913317826</v>
      </c>
      <c r="T301" s="7">
        <v>52.999631947000367</v>
      </c>
      <c r="U301" s="15">
        <f t="shared" si="14"/>
        <v>2</v>
      </c>
    </row>
    <row r="302" spans="1:21" ht="18.75" customHeight="1">
      <c r="A302" s="16">
        <v>310</v>
      </c>
      <c r="B302" s="3">
        <v>61</v>
      </c>
      <c r="C302" s="4" t="s">
        <v>331</v>
      </c>
      <c r="D302" s="9" t="s">
        <v>441</v>
      </c>
      <c r="E302" s="5" t="s">
        <v>271</v>
      </c>
      <c r="F302" s="6">
        <v>147</v>
      </c>
      <c r="G302" s="6">
        <v>685</v>
      </c>
      <c r="H302" s="6">
        <v>352</v>
      </c>
      <c r="I302" s="6">
        <v>333</v>
      </c>
      <c r="J302" s="17">
        <f t="shared" si="12"/>
        <v>946.02272727272725</v>
      </c>
      <c r="K302" s="6">
        <v>141</v>
      </c>
      <c r="L302" s="6">
        <v>76</v>
      </c>
      <c r="M302" s="6">
        <v>65</v>
      </c>
      <c r="N302" s="7">
        <f t="shared" si="13"/>
        <v>20.583941605839414</v>
      </c>
      <c r="O302" s="6">
        <v>413</v>
      </c>
      <c r="P302" s="6">
        <v>216</v>
      </c>
      <c r="Q302" s="6">
        <v>197</v>
      </c>
      <c r="R302" s="7">
        <v>70.357751277683136</v>
      </c>
      <c r="S302" s="7">
        <v>72.972972972972968</v>
      </c>
      <c r="T302" s="7">
        <v>67.697594501718214</v>
      </c>
      <c r="U302" s="15">
        <f t="shared" si="14"/>
        <v>1</v>
      </c>
    </row>
    <row r="303" spans="1:21" ht="18.75" customHeight="1">
      <c r="A303" s="16">
        <v>311</v>
      </c>
      <c r="B303" s="3">
        <v>62</v>
      </c>
      <c r="C303" s="4" t="s">
        <v>332</v>
      </c>
      <c r="D303" s="9" t="s">
        <v>441</v>
      </c>
      <c r="E303" s="5" t="s">
        <v>271</v>
      </c>
      <c r="F303" s="6">
        <v>379</v>
      </c>
      <c r="G303" s="6">
        <v>2060</v>
      </c>
      <c r="H303" s="6">
        <v>1082</v>
      </c>
      <c r="I303" s="6">
        <v>978</v>
      </c>
      <c r="J303" s="17">
        <f t="shared" si="12"/>
        <v>903.88170055452861</v>
      </c>
      <c r="K303" s="6">
        <v>207</v>
      </c>
      <c r="L303" s="6">
        <v>113</v>
      </c>
      <c r="M303" s="6">
        <v>94</v>
      </c>
      <c r="N303" s="7">
        <f t="shared" si="13"/>
        <v>10.048543689320388</v>
      </c>
      <c r="O303" s="6">
        <v>1259</v>
      </c>
      <c r="P303" s="6">
        <v>767</v>
      </c>
      <c r="Q303" s="6">
        <v>492</v>
      </c>
      <c r="R303" s="7">
        <v>71.331444759206803</v>
      </c>
      <c r="S303" s="7">
        <v>82.918918918918919</v>
      </c>
      <c r="T303" s="7">
        <v>58.571428571428577</v>
      </c>
      <c r="U303" s="15">
        <f t="shared" si="14"/>
        <v>1</v>
      </c>
    </row>
    <row r="304" spans="1:21" ht="18.75" customHeight="1">
      <c r="A304" s="16">
        <v>312</v>
      </c>
      <c r="B304" s="3">
        <v>63</v>
      </c>
      <c r="C304" s="4" t="s">
        <v>333</v>
      </c>
      <c r="D304" s="9" t="s">
        <v>441</v>
      </c>
      <c r="E304" s="5" t="s">
        <v>271</v>
      </c>
      <c r="F304" s="6">
        <v>716</v>
      </c>
      <c r="G304" s="6">
        <v>3686</v>
      </c>
      <c r="H304" s="6">
        <v>1950</v>
      </c>
      <c r="I304" s="6">
        <v>1736</v>
      </c>
      <c r="J304" s="17">
        <f t="shared" si="12"/>
        <v>890.25641025641028</v>
      </c>
      <c r="K304" s="6">
        <v>2226</v>
      </c>
      <c r="L304" s="6">
        <v>1176</v>
      </c>
      <c r="M304" s="6">
        <v>1050</v>
      </c>
      <c r="N304" s="7">
        <f t="shared" si="13"/>
        <v>60.390667390124797</v>
      </c>
      <c r="O304" s="6">
        <v>2174</v>
      </c>
      <c r="P304" s="6">
        <v>1247</v>
      </c>
      <c r="Q304" s="6">
        <v>927</v>
      </c>
      <c r="R304" s="7">
        <v>69.015873015873012</v>
      </c>
      <c r="S304" s="7">
        <v>75.075255869957857</v>
      </c>
      <c r="T304" s="7">
        <v>62.256548018804573</v>
      </c>
      <c r="U304" s="15">
        <f t="shared" si="14"/>
        <v>2</v>
      </c>
    </row>
    <row r="305" spans="1:21" ht="18.75" customHeight="1">
      <c r="A305" s="16">
        <v>313</v>
      </c>
      <c r="B305" s="3">
        <v>64</v>
      </c>
      <c r="C305" s="4" t="s">
        <v>334</v>
      </c>
      <c r="D305" s="9" t="s">
        <v>441</v>
      </c>
      <c r="E305" s="5" t="s">
        <v>271</v>
      </c>
      <c r="F305" s="6">
        <v>411</v>
      </c>
      <c r="G305" s="6">
        <v>2195</v>
      </c>
      <c r="H305" s="6">
        <v>1173</v>
      </c>
      <c r="I305" s="6">
        <v>1022</v>
      </c>
      <c r="J305" s="17">
        <f t="shared" si="12"/>
        <v>871.27024722932651</v>
      </c>
      <c r="K305" s="6">
        <v>470</v>
      </c>
      <c r="L305" s="6">
        <v>253</v>
      </c>
      <c r="M305" s="6">
        <v>217</v>
      </c>
      <c r="N305" s="7">
        <f t="shared" si="13"/>
        <v>21.412300683371299</v>
      </c>
      <c r="O305" s="6">
        <v>1129</v>
      </c>
      <c r="P305" s="6">
        <v>694</v>
      </c>
      <c r="Q305" s="6">
        <v>435</v>
      </c>
      <c r="R305" s="7">
        <v>60.406634563937935</v>
      </c>
      <c r="S305" s="7">
        <v>70.456852791878177</v>
      </c>
      <c r="T305" s="7">
        <v>49.20814479638009</v>
      </c>
      <c r="U305" s="15">
        <f t="shared" si="14"/>
        <v>2</v>
      </c>
    </row>
    <row r="306" spans="1:21" ht="18.75" customHeight="1">
      <c r="A306" s="16">
        <v>314</v>
      </c>
      <c r="B306" s="3">
        <v>65</v>
      </c>
      <c r="C306" s="4" t="s">
        <v>335</v>
      </c>
      <c r="D306" s="9" t="s">
        <v>441</v>
      </c>
      <c r="E306" s="5" t="s">
        <v>271</v>
      </c>
      <c r="F306" s="6">
        <v>684</v>
      </c>
      <c r="G306" s="6">
        <v>3438</v>
      </c>
      <c r="H306" s="6">
        <v>1784</v>
      </c>
      <c r="I306" s="6">
        <v>1654</v>
      </c>
      <c r="J306" s="17">
        <f t="shared" si="12"/>
        <v>927.13004484304929</v>
      </c>
      <c r="K306" s="6">
        <v>1561</v>
      </c>
      <c r="L306" s="6">
        <v>820</v>
      </c>
      <c r="M306" s="6">
        <v>741</v>
      </c>
      <c r="N306" s="7">
        <f t="shared" si="13"/>
        <v>45.404304828388597</v>
      </c>
      <c r="O306" s="6">
        <v>1984</v>
      </c>
      <c r="P306" s="6">
        <v>1183</v>
      </c>
      <c r="Q306" s="6">
        <v>801</v>
      </c>
      <c r="R306" s="7">
        <v>67.185912631222493</v>
      </c>
      <c r="S306" s="7">
        <v>76.569579288025892</v>
      </c>
      <c r="T306" s="7">
        <v>56.88920454545454</v>
      </c>
      <c r="U306" s="15">
        <f t="shared" si="14"/>
        <v>1</v>
      </c>
    </row>
    <row r="307" spans="1:21" ht="18.75" customHeight="1">
      <c r="A307" s="16">
        <v>315</v>
      </c>
      <c r="B307" s="3">
        <v>66</v>
      </c>
      <c r="C307" s="4" t="s">
        <v>336</v>
      </c>
      <c r="D307" s="9" t="s">
        <v>441</v>
      </c>
      <c r="E307" s="5" t="s">
        <v>271</v>
      </c>
      <c r="F307" s="6">
        <v>93</v>
      </c>
      <c r="G307" s="6">
        <v>420</v>
      </c>
      <c r="H307" s="6">
        <v>215</v>
      </c>
      <c r="I307" s="6">
        <v>205</v>
      </c>
      <c r="J307" s="17">
        <f t="shared" si="12"/>
        <v>953.48837209302326</v>
      </c>
      <c r="K307" s="6">
        <v>0</v>
      </c>
      <c r="L307" s="6">
        <v>0</v>
      </c>
      <c r="M307" s="6">
        <v>0</v>
      </c>
      <c r="N307" s="7">
        <f t="shared" si="13"/>
        <v>0</v>
      </c>
      <c r="O307" s="6">
        <v>255</v>
      </c>
      <c r="P307" s="6">
        <v>131</v>
      </c>
      <c r="Q307" s="6">
        <v>124</v>
      </c>
      <c r="R307" s="7">
        <v>70.054945054945051</v>
      </c>
      <c r="S307" s="7">
        <v>72.375690607734811</v>
      </c>
      <c r="T307" s="7">
        <v>67.759562841530055</v>
      </c>
      <c r="U307" s="15">
        <f t="shared" si="14"/>
        <v>1</v>
      </c>
    </row>
    <row r="308" spans="1:21" ht="18.75" customHeight="1">
      <c r="A308" s="16">
        <v>316</v>
      </c>
      <c r="B308" s="3">
        <v>1</v>
      </c>
      <c r="C308" s="4" t="s">
        <v>337</v>
      </c>
      <c r="D308" s="9" t="s">
        <v>441</v>
      </c>
      <c r="E308" s="5" t="s">
        <v>338</v>
      </c>
      <c r="F308" s="6">
        <v>526</v>
      </c>
      <c r="G308" s="6">
        <v>2599</v>
      </c>
      <c r="H308" s="6">
        <v>1387</v>
      </c>
      <c r="I308" s="6">
        <v>1212</v>
      </c>
      <c r="J308" s="17">
        <f t="shared" si="12"/>
        <v>873.8284066330209</v>
      </c>
      <c r="K308" s="6">
        <v>1076</v>
      </c>
      <c r="L308" s="6">
        <v>565</v>
      </c>
      <c r="M308" s="6">
        <v>511</v>
      </c>
      <c r="N308" s="7">
        <f t="shared" si="13"/>
        <v>41.400538668718738</v>
      </c>
      <c r="O308" s="6">
        <v>1496</v>
      </c>
      <c r="P308" s="6">
        <v>856</v>
      </c>
      <c r="Q308" s="6">
        <v>640</v>
      </c>
      <c r="R308" s="7">
        <v>66.165413533834581</v>
      </c>
      <c r="S308" s="7">
        <v>71.872376154492031</v>
      </c>
      <c r="T308" s="7">
        <v>59.813084112149525</v>
      </c>
      <c r="U308" s="15">
        <f t="shared" si="14"/>
        <v>2</v>
      </c>
    </row>
    <row r="309" spans="1:21" ht="18.75" customHeight="1">
      <c r="A309" s="16">
        <v>317</v>
      </c>
      <c r="B309" s="3">
        <v>2</v>
      </c>
      <c r="C309" s="4" t="s">
        <v>339</v>
      </c>
      <c r="D309" s="9" t="s">
        <v>441</v>
      </c>
      <c r="E309" s="5" t="s">
        <v>338</v>
      </c>
      <c r="F309" s="6">
        <v>470</v>
      </c>
      <c r="G309" s="6">
        <v>2474</v>
      </c>
      <c r="H309" s="6">
        <v>1316</v>
      </c>
      <c r="I309" s="6">
        <v>1158</v>
      </c>
      <c r="J309" s="17">
        <f t="shared" si="12"/>
        <v>879.93920972644378</v>
      </c>
      <c r="K309" s="6">
        <v>187</v>
      </c>
      <c r="L309" s="6">
        <v>105</v>
      </c>
      <c r="M309" s="6">
        <v>82</v>
      </c>
      <c r="N309" s="7">
        <f t="shared" si="13"/>
        <v>7.5586095392077617</v>
      </c>
      <c r="O309" s="6">
        <v>1691</v>
      </c>
      <c r="P309" s="6">
        <v>959</v>
      </c>
      <c r="Q309" s="6">
        <v>732</v>
      </c>
      <c r="R309" s="7">
        <v>77.96219455970494</v>
      </c>
      <c r="S309" s="7">
        <v>83.755458515283848</v>
      </c>
      <c r="T309" s="7">
        <v>71.484375</v>
      </c>
      <c r="U309" s="15">
        <f t="shared" si="14"/>
        <v>2</v>
      </c>
    </row>
    <row r="310" spans="1:21" ht="18.75" customHeight="1">
      <c r="A310" s="16">
        <v>318</v>
      </c>
      <c r="B310" s="3">
        <v>3</v>
      </c>
      <c r="C310" s="4" t="s">
        <v>340</v>
      </c>
      <c r="D310" s="9" t="s">
        <v>441</v>
      </c>
      <c r="E310" s="5" t="s">
        <v>338</v>
      </c>
      <c r="F310" s="6">
        <v>100</v>
      </c>
      <c r="G310" s="6">
        <v>486</v>
      </c>
      <c r="H310" s="6">
        <v>255</v>
      </c>
      <c r="I310" s="6">
        <v>231</v>
      </c>
      <c r="J310" s="17">
        <f t="shared" si="12"/>
        <v>905.88235294117646</v>
      </c>
      <c r="K310" s="6">
        <v>42</v>
      </c>
      <c r="L310" s="6">
        <v>22</v>
      </c>
      <c r="M310" s="6">
        <v>20</v>
      </c>
      <c r="N310" s="7">
        <f t="shared" si="13"/>
        <v>8.6419753086419746</v>
      </c>
      <c r="O310" s="6">
        <v>301</v>
      </c>
      <c r="P310" s="6">
        <v>171</v>
      </c>
      <c r="Q310" s="6">
        <v>130</v>
      </c>
      <c r="R310" s="7">
        <v>68.878718535469105</v>
      </c>
      <c r="S310" s="7">
        <v>75.663716814159287</v>
      </c>
      <c r="T310" s="7">
        <v>61.611374407582943</v>
      </c>
      <c r="U310" s="15">
        <f t="shared" si="14"/>
        <v>1</v>
      </c>
    </row>
    <row r="311" spans="1:21" ht="18.75" customHeight="1">
      <c r="A311" s="16">
        <v>319</v>
      </c>
      <c r="B311" s="3">
        <v>4</v>
      </c>
      <c r="C311" s="4" t="s">
        <v>341</v>
      </c>
      <c r="D311" s="9" t="s">
        <v>441</v>
      </c>
      <c r="E311" s="5" t="s">
        <v>338</v>
      </c>
      <c r="F311" s="6">
        <v>36</v>
      </c>
      <c r="G311" s="6">
        <v>163</v>
      </c>
      <c r="H311" s="6">
        <v>77</v>
      </c>
      <c r="I311" s="6">
        <v>86</v>
      </c>
      <c r="J311" s="17">
        <f t="shared" si="12"/>
        <v>1116.8831168831168</v>
      </c>
      <c r="K311" s="6">
        <v>34</v>
      </c>
      <c r="L311" s="6">
        <v>12</v>
      </c>
      <c r="M311" s="6">
        <v>22</v>
      </c>
      <c r="N311" s="7">
        <f t="shared" si="13"/>
        <v>20.858895705521473</v>
      </c>
      <c r="O311" s="6">
        <v>97</v>
      </c>
      <c r="P311" s="6">
        <v>48</v>
      </c>
      <c r="Q311" s="6">
        <v>49</v>
      </c>
      <c r="R311" s="7">
        <v>68.794326241134755</v>
      </c>
      <c r="S311" s="7">
        <v>72.727272727272734</v>
      </c>
      <c r="T311" s="7">
        <v>65.333333333333329</v>
      </c>
      <c r="U311" s="15">
        <f t="shared" si="14"/>
        <v>1</v>
      </c>
    </row>
    <row r="312" spans="1:21" ht="18.75" customHeight="1">
      <c r="A312" s="16">
        <v>320</v>
      </c>
      <c r="B312" s="3">
        <v>5</v>
      </c>
      <c r="C312" s="4" t="s">
        <v>342</v>
      </c>
      <c r="D312" s="9" t="s">
        <v>441</v>
      </c>
      <c r="E312" s="5" t="s">
        <v>338</v>
      </c>
      <c r="F312" s="6">
        <v>71</v>
      </c>
      <c r="G312" s="6">
        <v>378</v>
      </c>
      <c r="H312" s="6">
        <v>198</v>
      </c>
      <c r="I312" s="6">
        <v>180</v>
      </c>
      <c r="J312" s="17">
        <f t="shared" si="12"/>
        <v>909.09090909090901</v>
      </c>
      <c r="K312" s="6">
        <v>50</v>
      </c>
      <c r="L312" s="6">
        <v>27</v>
      </c>
      <c r="M312" s="6">
        <v>23</v>
      </c>
      <c r="N312" s="7">
        <f t="shared" si="13"/>
        <v>13.227513227513226</v>
      </c>
      <c r="O312" s="6">
        <v>266</v>
      </c>
      <c r="P312" s="6">
        <v>149</v>
      </c>
      <c r="Q312" s="6">
        <v>117</v>
      </c>
      <c r="R312" s="7">
        <v>76.657060518731996</v>
      </c>
      <c r="S312" s="7">
        <v>82.777777777777771</v>
      </c>
      <c r="T312" s="7">
        <v>70.05988023952095</v>
      </c>
      <c r="U312" s="15">
        <f t="shared" si="14"/>
        <v>1</v>
      </c>
    </row>
    <row r="313" spans="1:21" ht="18.75" customHeight="1">
      <c r="A313" s="16">
        <v>321</v>
      </c>
      <c r="B313" s="3">
        <v>6</v>
      </c>
      <c r="C313" s="4" t="s">
        <v>343</v>
      </c>
      <c r="D313" s="9" t="s">
        <v>441</v>
      </c>
      <c r="E313" s="5" t="s">
        <v>338</v>
      </c>
      <c r="F313" s="6">
        <v>164</v>
      </c>
      <c r="G313" s="6">
        <v>786</v>
      </c>
      <c r="H313" s="6">
        <v>426</v>
      </c>
      <c r="I313" s="6">
        <v>360</v>
      </c>
      <c r="J313" s="17">
        <f t="shared" si="12"/>
        <v>845.07042253521126</v>
      </c>
      <c r="K313" s="6">
        <v>134</v>
      </c>
      <c r="L313" s="6">
        <v>72</v>
      </c>
      <c r="M313" s="6">
        <v>62</v>
      </c>
      <c r="N313" s="7">
        <f t="shared" si="13"/>
        <v>17.048346055979643</v>
      </c>
      <c r="O313" s="6">
        <v>562</v>
      </c>
      <c r="P313" s="6">
        <v>341</v>
      </c>
      <c r="Q313" s="6">
        <v>221</v>
      </c>
      <c r="R313" s="7">
        <v>78.164116828929068</v>
      </c>
      <c r="S313" s="7">
        <v>87.212276214833764</v>
      </c>
      <c r="T313" s="7">
        <v>67.378048780487802</v>
      </c>
      <c r="U313" s="15">
        <f t="shared" si="14"/>
        <v>2</v>
      </c>
    </row>
    <row r="314" spans="1:21" ht="18.75" customHeight="1">
      <c r="A314" s="16">
        <v>322</v>
      </c>
      <c r="B314" s="3">
        <v>7</v>
      </c>
      <c r="C314" s="4" t="s">
        <v>344</v>
      </c>
      <c r="D314" s="9" t="s">
        <v>441</v>
      </c>
      <c r="E314" s="5" t="s">
        <v>338</v>
      </c>
      <c r="F314" s="6">
        <v>373</v>
      </c>
      <c r="G314" s="6">
        <v>1986</v>
      </c>
      <c r="H314" s="6">
        <v>1035</v>
      </c>
      <c r="I314" s="6">
        <v>951</v>
      </c>
      <c r="J314" s="17">
        <f t="shared" si="12"/>
        <v>918.84057971014488</v>
      </c>
      <c r="K314" s="6">
        <v>310</v>
      </c>
      <c r="L314" s="6">
        <v>161</v>
      </c>
      <c r="M314" s="6">
        <v>149</v>
      </c>
      <c r="N314" s="7">
        <f t="shared" si="13"/>
        <v>15.609264853977844</v>
      </c>
      <c r="O314" s="6">
        <v>1316</v>
      </c>
      <c r="P314" s="6">
        <v>725</v>
      </c>
      <c r="Q314" s="6">
        <v>591</v>
      </c>
      <c r="R314" s="7">
        <v>76.069364161849705</v>
      </c>
      <c r="S314" s="7">
        <v>82.013574660633481</v>
      </c>
      <c r="T314" s="7">
        <v>69.858156028368796</v>
      </c>
      <c r="U314" s="15">
        <f t="shared" si="14"/>
        <v>1</v>
      </c>
    </row>
    <row r="315" spans="1:21" ht="18.75" customHeight="1">
      <c r="A315" s="16">
        <v>323</v>
      </c>
      <c r="B315" s="3">
        <v>8</v>
      </c>
      <c r="C315" s="4" t="s">
        <v>345</v>
      </c>
      <c r="D315" s="9" t="s">
        <v>441</v>
      </c>
      <c r="E315" s="5" t="s">
        <v>338</v>
      </c>
      <c r="F315" s="6">
        <v>397</v>
      </c>
      <c r="G315" s="6">
        <v>2041</v>
      </c>
      <c r="H315" s="6">
        <v>1080</v>
      </c>
      <c r="I315" s="6">
        <v>961</v>
      </c>
      <c r="J315" s="17">
        <f t="shared" si="12"/>
        <v>889.81481481481478</v>
      </c>
      <c r="K315" s="6">
        <v>535</v>
      </c>
      <c r="L315" s="6">
        <v>287</v>
      </c>
      <c r="M315" s="6">
        <v>248</v>
      </c>
      <c r="N315" s="7">
        <f t="shared" si="13"/>
        <v>26.212640862322388</v>
      </c>
      <c r="O315" s="6">
        <v>1242</v>
      </c>
      <c r="P315" s="6">
        <v>699</v>
      </c>
      <c r="Q315" s="6">
        <v>543</v>
      </c>
      <c r="R315" s="7">
        <v>69.696969696969703</v>
      </c>
      <c r="S315" s="7">
        <v>74.599786552828178</v>
      </c>
      <c r="T315" s="7">
        <v>64.26035502958581</v>
      </c>
      <c r="U315" s="15">
        <f t="shared" si="14"/>
        <v>2</v>
      </c>
    </row>
    <row r="316" spans="1:21" ht="18.75" customHeight="1">
      <c r="A316" s="16">
        <v>324</v>
      </c>
      <c r="B316" s="3">
        <v>9</v>
      </c>
      <c r="C316" s="4" t="s">
        <v>346</v>
      </c>
      <c r="D316" s="9" t="s">
        <v>441</v>
      </c>
      <c r="E316" s="5" t="s">
        <v>338</v>
      </c>
      <c r="F316" s="6">
        <v>138</v>
      </c>
      <c r="G316" s="6">
        <v>766</v>
      </c>
      <c r="H316" s="6">
        <v>395</v>
      </c>
      <c r="I316" s="6">
        <v>371</v>
      </c>
      <c r="J316" s="17">
        <f t="shared" si="12"/>
        <v>939.24050632911394</v>
      </c>
      <c r="K316" s="6">
        <v>385</v>
      </c>
      <c r="L316" s="6">
        <v>197</v>
      </c>
      <c r="M316" s="6">
        <v>188</v>
      </c>
      <c r="N316" s="7">
        <f t="shared" si="13"/>
        <v>50.261096605744129</v>
      </c>
      <c r="O316" s="6">
        <v>485</v>
      </c>
      <c r="P316" s="6">
        <v>285</v>
      </c>
      <c r="Q316" s="6">
        <v>200</v>
      </c>
      <c r="R316" s="7">
        <v>73.932926829268297</v>
      </c>
      <c r="S316" s="7">
        <v>86.36363636363636</v>
      </c>
      <c r="T316" s="7">
        <v>61.349693251533743</v>
      </c>
      <c r="U316" s="15">
        <f t="shared" si="14"/>
        <v>1</v>
      </c>
    </row>
    <row r="317" spans="1:21" ht="18.75" customHeight="1">
      <c r="A317" s="16">
        <v>325</v>
      </c>
      <c r="B317" s="3">
        <v>10</v>
      </c>
      <c r="C317" s="4" t="s">
        <v>347</v>
      </c>
      <c r="D317" s="9" t="s">
        <v>441</v>
      </c>
      <c r="E317" s="5" t="s">
        <v>338</v>
      </c>
      <c r="F317" s="6">
        <v>234</v>
      </c>
      <c r="G317" s="6">
        <v>1167</v>
      </c>
      <c r="H317" s="6">
        <v>626</v>
      </c>
      <c r="I317" s="6">
        <v>541</v>
      </c>
      <c r="J317" s="17">
        <f t="shared" si="12"/>
        <v>864.21725239616615</v>
      </c>
      <c r="K317" s="6">
        <v>198</v>
      </c>
      <c r="L317" s="6">
        <v>110</v>
      </c>
      <c r="M317" s="6">
        <v>88</v>
      </c>
      <c r="N317" s="7">
        <f t="shared" si="13"/>
        <v>16.966580976863753</v>
      </c>
      <c r="O317" s="6">
        <v>759</v>
      </c>
      <c r="P317" s="6">
        <v>444</v>
      </c>
      <c r="Q317" s="6">
        <v>315</v>
      </c>
      <c r="R317" s="7">
        <v>74.557956777996068</v>
      </c>
      <c r="S317" s="7">
        <v>81.467889908256879</v>
      </c>
      <c r="T317" s="7">
        <v>66.596194503171247</v>
      </c>
      <c r="U317" s="15">
        <f t="shared" si="14"/>
        <v>2</v>
      </c>
    </row>
    <row r="318" spans="1:21" ht="18.75" customHeight="1">
      <c r="A318" s="16">
        <v>326</v>
      </c>
      <c r="B318" s="3">
        <v>11</v>
      </c>
      <c r="C318" s="4" t="s">
        <v>348</v>
      </c>
      <c r="D318" s="9" t="s">
        <v>441</v>
      </c>
      <c r="E318" s="5" t="s">
        <v>338</v>
      </c>
      <c r="F318" s="6">
        <v>110</v>
      </c>
      <c r="G318" s="6">
        <v>519</v>
      </c>
      <c r="H318" s="6">
        <v>269</v>
      </c>
      <c r="I318" s="6">
        <v>250</v>
      </c>
      <c r="J318" s="17">
        <f t="shared" si="12"/>
        <v>929.36802973977694</v>
      </c>
      <c r="K318" s="6">
        <v>116</v>
      </c>
      <c r="L318" s="6">
        <v>59</v>
      </c>
      <c r="M318" s="6">
        <v>57</v>
      </c>
      <c r="N318" s="7">
        <f t="shared" si="13"/>
        <v>22.350674373795762</v>
      </c>
      <c r="O318" s="6">
        <v>277</v>
      </c>
      <c r="P318" s="6">
        <v>159</v>
      </c>
      <c r="Q318" s="6">
        <v>118</v>
      </c>
      <c r="R318" s="7">
        <v>60.086767895878523</v>
      </c>
      <c r="S318" s="7">
        <v>65.432098765432102</v>
      </c>
      <c r="T318" s="7">
        <v>54.128440366972477</v>
      </c>
      <c r="U318" s="15">
        <f t="shared" si="14"/>
        <v>1</v>
      </c>
    </row>
    <row r="319" spans="1:21" ht="18.75" customHeight="1">
      <c r="A319" s="16">
        <v>327</v>
      </c>
      <c r="B319" s="3">
        <v>12</v>
      </c>
      <c r="C319" s="4" t="s">
        <v>349</v>
      </c>
      <c r="D319" s="9" t="s">
        <v>441</v>
      </c>
      <c r="E319" s="5" t="s">
        <v>338</v>
      </c>
      <c r="F319" s="6">
        <v>326</v>
      </c>
      <c r="G319" s="6">
        <v>1529</v>
      </c>
      <c r="H319" s="6">
        <v>805</v>
      </c>
      <c r="I319" s="6">
        <v>724</v>
      </c>
      <c r="J319" s="17">
        <f t="shared" si="12"/>
        <v>899.37888198757764</v>
      </c>
      <c r="K319" s="6">
        <v>538</v>
      </c>
      <c r="L319" s="6">
        <v>279</v>
      </c>
      <c r="M319" s="6">
        <v>259</v>
      </c>
      <c r="N319" s="7">
        <f t="shared" si="13"/>
        <v>35.186396337475472</v>
      </c>
      <c r="O319" s="6">
        <v>880</v>
      </c>
      <c r="P319" s="6">
        <v>516</v>
      </c>
      <c r="Q319" s="6">
        <v>364</v>
      </c>
      <c r="R319" s="7">
        <v>64.944649446494466</v>
      </c>
      <c r="S319" s="7">
        <v>72.167832167832174</v>
      </c>
      <c r="T319" s="7">
        <v>56.875</v>
      </c>
      <c r="U319" s="15">
        <f t="shared" si="14"/>
        <v>2</v>
      </c>
    </row>
    <row r="320" spans="1:21" ht="18.75" customHeight="1">
      <c r="A320" s="16">
        <v>328</v>
      </c>
      <c r="B320" s="3">
        <v>13</v>
      </c>
      <c r="C320" s="4" t="s">
        <v>350</v>
      </c>
      <c r="D320" s="9" t="s">
        <v>441</v>
      </c>
      <c r="E320" s="5" t="s">
        <v>338</v>
      </c>
      <c r="F320" s="6">
        <v>318</v>
      </c>
      <c r="G320" s="6">
        <v>1634</v>
      </c>
      <c r="H320" s="6">
        <v>882</v>
      </c>
      <c r="I320" s="6">
        <v>752</v>
      </c>
      <c r="J320" s="17">
        <f t="shared" si="12"/>
        <v>852.60770975056687</v>
      </c>
      <c r="K320" s="6">
        <v>586</v>
      </c>
      <c r="L320" s="6">
        <v>326</v>
      </c>
      <c r="M320" s="6">
        <v>260</v>
      </c>
      <c r="N320" s="7">
        <f t="shared" si="13"/>
        <v>35.862913096695223</v>
      </c>
      <c r="O320" s="6">
        <v>1027</v>
      </c>
      <c r="P320" s="6">
        <v>606</v>
      </c>
      <c r="Q320" s="6">
        <v>421</v>
      </c>
      <c r="R320" s="7">
        <v>72.222222222222214</v>
      </c>
      <c r="S320" s="7">
        <v>79.736842105263165</v>
      </c>
      <c r="T320" s="7">
        <v>63.59516616314199</v>
      </c>
      <c r="U320" s="15">
        <f t="shared" si="14"/>
        <v>2</v>
      </c>
    </row>
    <row r="321" spans="1:21" ht="18.75" customHeight="1">
      <c r="A321" s="16">
        <v>329</v>
      </c>
      <c r="B321" s="3">
        <v>14</v>
      </c>
      <c r="C321" s="4" t="s">
        <v>351</v>
      </c>
      <c r="D321" s="9" t="s">
        <v>441</v>
      </c>
      <c r="E321" s="5" t="s">
        <v>338</v>
      </c>
      <c r="F321" s="6">
        <v>200</v>
      </c>
      <c r="G321" s="6">
        <v>1129</v>
      </c>
      <c r="H321" s="6">
        <v>607</v>
      </c>
      <c r="I321" s="6">
        <v>522</v>
      </c>
      <c r="J321" s="17">
        <f t="shared" si="12"/>
        <v>859.96705107084017</v>
      </c>
      <c r="K321" s="6">
        <v>74</v>
      </c>
      <c r="L321" s="6">
        <v>40</v>
      </c>
      <c r="M321" s="6">
        <v>34</v>
      </c>
      <c r="N321" s="7">
        <f t="shared" si="13"/>
        <v>6.5544729849424259</v>
      </c>
      <c r="O321" s="6">
        <v>752</v>
      </c>
      <c r="P321" s="6">
        <v>442</v>
      </c>
      <c r="Q321" s="6">
        <v>310</v>
      </c>
      <c r="R321" s="7">
        <v>74.975074775672979</v>
      </c>
      <c r="S321" s="7">
        <v>81.399631675874772</v>
      </c>
      <c r="T321" s="7">
        <v>67.391304347826093</v>
      </c>
      <c r="U321" s="15">
        <f t="shared" si="14"/>
        <v>2</v>
      </c>
    </row>
    <row r="322" spans="1:21" ht="18.75" customHeight="1">
      <c r="A322" s="16">
        <v>330</v>
      </c>
      <c r="B322" s="3">
        <v>15</v>
      </c>
      <c r="C322" s="4" t="s">
        <v>352</v>
      </c>
      <c r="D322" s="9" t="s">
        <v>441</v>
      </c>
      <c r="E322" s="5" t="s">
        <v>338</v>
      </c>
      <c r="F322" s="6">
        <v>69</v>
      </c>
      <c r="G322" s="6">
        <v>369</v>
      </c>
      <c r="H322" s="6">
        <v>198</v>
      </c>
      <c r="I322" s="6">
        <v>171</v>
      </c>
      <c r="J322" s="17">
        <f t="shared" ref="J322:J386" si="15">I322/H322*1000</f>
        <v>863.63636363636363</v>
      </c>
      <c r="K322" s="6">
        <v>0</v>
      </c>
      <c r="L322" s="6">
        <v>0</v>
      </c>
      <c r="M322" s="6">
        <v>0</v>
      </c>
      <c r="N322" s="7">
        <f t="shared" ref="N322:N385" si="16">K322/G322*100</f>
        <v>0</v>
      </c>
      <c r="O322" s="6">
        <v>252</v>
      </c>
      <c r="P322" s="6">
        <v>143</v>
      </c>
      <c r="Q322" s="6">
        <v>109</v>
      </c>
      <c r="R322" s="7">
        <v>74.336283185840713</v>
      </c>
      <c r="S322" s="7">
        <v>79.888268156424573</v>
      </c>
      <c r="T322" s="7">
        <v>68.125</v>
      </c>
      <c r="U322" s="15">
        <f t="shared" si="14"/>
        <v>2</v>
      </c>
    </row>
    <row r="323" spans="1:21" ht="18.75" customHeight="1">
      <c r="A323" s="16">
        <v>331</v>
      </c>
      <c r="B323" s="3">
        <v>16</v>
      </c>
      <c r="C323" s="4" t="s">
        <v>353</v>
      </c>
      <c r="D323" s="9" t="s">
        <v>441</v>
      </c>
      <c r="E323" s="5" t="s">
        <v>338</v>
      </c>
      <c r="F323" s="6">
        <v>461</v>
      </c>
      <c r="G323" s="6">
        <v>2659</v>
      </c>
      <c r="H323" s="6">
        <v>1392</v>
      </c>
      <c r="I323" s="6">
        <v>1267</v>
      </c>
      <c r="J323" s="17">
        <f t="shared" si="15"/>
        <v>910.20114942528744</v>
      </c>
      <c r="K323" s="6">
        <v>544</v>
      </c>
      <c r="L323" s="6">
        <v>286</v>
      </c>
      <c r="M323" s="6">
        <v>258</v>
      </c>
      <c r="N323" s="7">
        <f t="shared" si="16"/>
        <v>20.458819104926665</v>
      </c>
      <c r="O323" s="6">
        <v>1649</v>
      </c>
      <c r="P323" s="6">
        <v>947</v>
      </c>
      <c r="Q323" s="6">
        <v>702</v>
      </c>
      <c r="R323" s="7">
        <v>70.170212765957444</v>
      </c>
      <c r="S323" s="7">
        <v>76.99186991869918</v>
      </c>
      <c r="T323" s="7">
        <v>62.678571428571431</v>
      </c>
      <c r="U323" s="15">
        <f t="shared" ref="U323:U386" si="17">IF($J323&gt;900,1,IF($J323&gt;800,2,IF($J323&gt;700,3,0)))</f>
        <v>1</v>
      </c>
    </row>
    <row r="324" spans="1:21" ht="18.75" customHeight="1">
      <c r="A324" s="16">
        <v>332</v>
      </c>
      <c r="B324" s="3">
        <v>17</v>
      </c>
      <c r="C324" s="4" t="s">
        <v>354</v>
      </c>
      <c r="D324" s="9" t="s">
        <v>441</v>
      </c>
      <c r="E324" s="5" t="s">
        <v>338</v>
      </c>
      <c r="F324" s="6">
        <v>1356</v>
      </c>
      <c r="G324" s="6">
        <v>7089</v>
      </c>
      <c r="H324" s="6">
        <v>3781</v>
      </c>
      <c r="I324" s="6">
        <v>3308</v>
      </c>
      <c r="J324" s="17">
        <f t="shared" si="15"/>
        <v>874.90081988891836</v>
      </c>
      <c r="K324" s="6">
        <v>2034</v>
      </c>
      <c r="L324" s="6">
        <v>1074</v>
      </c>
      <c r="M324" s="6">
        <v>960</v>
      </c>
      <c r="N324" s="7">
        <f t="shared" si="16"/>
        <v>28.692340245450698</v>
      </c>
      <c r="O324" s="6">
        <v>4966</v>
      </c>
      <c r="P324" s="6">
        <v>2826</v>
      </c>
      <c r="Q324" s="6">
        <v>2140</v>
      </c>
      <c r="R324" s="7">
        <v>79.967793880837363</v>
      </c>
      <c r="S324" s="7">
        <v>85.610421084519842</v>
      </c>
      <c r="T324" s="7">
        <v>73.564798899965623</v>
      </c>
      <c r="U324" s="15">
        <f t="shared" si="17"/>
        <v>2</v>
      </c>
    </row>
    <row r="325" spans="1:21" ht="18.75" customHeight="1">
      <c r="A325" s="16">
        <v>333</v>
      </c>
      <c r="B325" s="3">
        <v>18</v>
      </c>
      <c r="C325" s="4" t="s">
        <v>355</v>
      </c>
      <c r="D325" s="9" t="s">
        <v>441</v>
      </c>
      <c r="E325" s="5" t="s">
        <v>338</v>
      </c>
      <c r="F325" s="6">
        <v>265</v>
      </c>
      <c r="G325" s="6">
        <v>1421</v>
      </c>
      <c r="H325" s="6">
        <v>748</v>
      </c>
      <c r="I325" s="6">
        <v>673</v>
      </c>
      <c r="J325" s="17">
        <f t="shared" si="15"/>
        <v>899.73262032085563</v>
      </c>
      <c r="K325" s="6">
        <v>194</v>
      </c>
      <c r="L325" s="6">
        <v>102</v>
      </c>
      <c r="M325" s="6">
        <v>92</v>
      </c>
      <c r="N325" s="7">
        <f t="shared" si="16"/>
        <v>13.652357494722025</v>
      </c>
      <c r="O325" s="6">
        <v>961</v>
      </c>
      <c r="P325" s="6">
        <v>545</v>
      </c>
      <c r="Q325" s="6">
        <v>416</v>
      </c>
      <c r="R325" s="7">
        <v>76.451869530628485</v>
      </c>
      <c r="S325" s="7">
        <v>82.82674772036475</v>
      </c>
      <c r="T325" s="7">
        <v>69.449081803005015</v>
      </c>
      <c r="U325" s="15">
        <f t="shared" si="17"/>
        <v>2</v>
      </c>
    </row>
    <row r="326" spans="1:21" ht="18.75" customHeight="1">
      <c r="A326" s="16">
        <v>334</v>
      </c>
      <c r="B326" s="3">
        <v>19</v>
      </c>
      <c r="C326" s="4" t="s">
        <v>356</v>
      </c>
      <c r="D326" s="9" t="s">
        <v>441</v>
      </c>
      <c r="E326" s="5" t="s">
        <v>338</v>
      </c>
      <c r="F326" s="6">
        <v>354</v>
      </c>
      <c r="G326" s="6">
        <v>2007</v>
      </c>
      <c r="H326" s="6">
        <v>1085</v>
      </c>
      <c r="I326" s="6">
        <v>922</v>
      </c>
      <c r="J326" s="17">
        <f t="shared" si="15"/>
        <v>849.76958525345628</v>
      </c>
      <c r="K326" s="6">
        <v>570</v>
      </c>
      <c r="L326" s="6">
        <v>294</v>
      </c>
      <c r="M326" s="6">
        <v>276</v>
      </c>
      <c r="N326" s="7">
        <f t="shared" si="16"/>
        <v>28.400597907324364</v>
      </c>
      <c r="O326" s="6">
        <v>1185</v>
      </c>
      <c r="P326" s="6">
        <v>715</v>
      </c>
      <c r="Q326" s="6">
        <v>470</v>
      </c>
      <c r="R326" s="7">
        <v>68.93542757417103</v>
      </c>
      <c r="S326" s="7">
        <v>77.801958650707292</v>
      </c>
      <c r="T326" s="7">
        <v>58.75</v>
      </c>
      <c r="U326" s="15">
        <f t="shared" si="17"/>
        <v>2</v>
      </c>
    </row>
    <row r="327" spans="1:21" ht="18.75" customHeight="1">
      <c r="A327" s="16">
        <v>335</v>
      </c>
      <c r="B327" s="3">
        <v>20</v>
      </c>
      <c r="C327" s="4" t="s">
        <v>357</v>
      </c>
      <c r="D327" s="9" t="s">
        <v>441</v>
      </c>
      <c r="E327" s="5" t="s">
        <v>338</v>
      </c>
      <c r="F327" s="6">
        <v>46</v>
      </c>
      <c r="G327" s="6">
        <v>236</v>
      </c>
      <c r="H327" s="6">
        <v>121</v>
      </c>
      <c r="I327" s="6">
        <v>115</v>
      </c>
      <c r="J327" s="17">
        <f t="shared" si="15"/>
        <v>950.41322314049592</v>
      </c>
      <c r="K327" s="6">
        <v>0</v>
      </c>
      <c r="L327" s="6">
        <v>0</v>
      </c>
      <c r="M327" s="6">
        <v>0</v>
      </c>
      <c r="N327" s="7">
        <f t="shared" si="16"/>
        <v>0</v>
      </c>
      <c r="O327" s="6">
        <v>157</v>
      </c>
      <c r="P327" s="6">
        <v>84</v>
      </c>
      <c r="Q327" s="6">
        <v>73</v>
      </c>
      <c r="R327" s="7">
        <v>73.36448598130842</v>
      </c>
      <c r="S327" s="7">
        <v>76.363636363636374</v>
      </c>
      <c r="T327" s="7">
        <v>70.192307692307693</v>
      </c>
      <c r="U327" s="15">
        <f t="shared" si="17"/>
        <v>1</v>
      </c>
    </row>
    <row r="328" spans="1:21" ht="18.75" customHeight="1">
      <c r="A328" s="16">
        <v>336</v>
      </c>
      <c r="B328" s="3">
        <v>21</v>
      </c>
      <c r="C328" s="4" t="s">
        <v>358</v>
      </c>
      <c r="D328" s="9" t="s">
        <v>441</v>
      </c>
      <c r="E328" s="5" t="s">
        <v>338</v>
      </c>
      <c r="F328" s="6">
        <v>390</v>
      </c>
      <c r="G328" s="6">
        <v>1970</v>
      </c>
      <c r="H328" s="6">
        <v>1039</v>
      </c>
      <c r="I328" s="6">
        <v>931</v>
      </c>
      <c r="J328" s="17">
        <f t="shared" si="15"/>
        <v>896.05389797882583</v>
      </c>
      <c r="K328" s="6">
        <v>897</v>
      </c>
      <c r="L328" s="6">
        <v>480</v>
      </c>
      <c r="M328" s="6">
        <v>417</v>
      </c>
      <c r="N328" s="7">
        <f t="shared" si="16"/>
        <v>45.532994923857864</v>
      </c>
      <c r="O328" s="6">
        <v>1258</v>
      </c>
      <c r="P328" s="6">
        <v>714</v>
      </c>
      <c r="Q328" s="6">
        <v>544</v>
      </c>
      <c r="R328" s="7">
        <v>73.782991202346039</v>
      </c>
      <c r="S328" s="7">
        <v>80.677966101694921</v>
      </c>
      <c r="T328" s="7">
        <v>66.341463414634148</v>
      </c>
      <c r="U328" s="15">
        <f t="shared" si="17"/>
        <v>2</v>
      </c>
    </row>
    <row r="329" spans="1:21" ht="18.75" customHeight="1">
      <c r="A329" s="16">
        <v>337</v>
      </c>
      <c r="B329" s="3">
        <v>22</v>
      </c>
      <c r="C329" s="4" t="s">
        <v>359</v>
      </c>
      <c r="D329" s="9" t="s">
        <v>441</v>
      </c>
      <c r="E329" s="5" t="s">
        <v>338</v>
      </c>
      <c r="F329" s="6">
        <v>54</v>
      </c>
      <c r="G329" s="6">
        <v>330</v>
      </c>
      <c r="H329" s="6">
        <v>175</v>
      </c>
      <c r="I329" s="6">
        <v>155</v>
      </c>
      <c r="J329" s="17">
        <f t="shared" si="15"/>
        <v>885.71428571428567</v>
      </c>
      <c r="K329" s="6">
        <v>6</v>
      </c>
      <c r="L329" s="6">
        <v>3</v>
      </c>
      <c r="M329" s="6">
        <v>3</v>
      </c>
      <c r="N329" s="7">
        <f t="shared" si="16"/>
        <v>1.8181818181818181</v>
      </c>
      <c r="O329" s="6">
        <v>228</v>
      </c>
      <c r="P329" s="6">
        <v>124</v>
      </c>
      <c r="Q329" s="6">
        <v>104</v>
      </c>
      <c r="R329" s="7">
        <v>74.754098360655746</v>
      </c>
      <c r="S329" s="7">
        <v>77.5</v>
      </c>
      <c r="T329" s="7">
        <v>71.724137931034477</v>
      </c>
      <c r="U329" s="15">
        <f t="shared" si="17"/>
        <v>2</v>
      </c>
    </row>
    <row r="330" spans="1:21" ht="18.75" customHeight="1">
      <c r="A330" s="16">
        <v>338</v>
      </c>
      <c r="B330" s="3">
        <v>23</v>
      </c>
      <c r="C330" s="4" t="s">
        <v>360</v>
      </c>
      <c r="D330" s="9" t="s">
        <v>441</v>
      </c>
      <c r="E330" s="5" t="s">
        <v>338</v>
      </c>
      <c r="F330" s="6">
        <v>303</v>
      </c>
      <c r="G330" s="6">
        <v>1480</v>
      </c>
      <c r="H330" s="6">
        <v>781</v>
      </c>
      <c r="I330" s="6">
        <v>699</v>
      </c>
      <c r="J330" s="17">
        <f t="shared" si="15"/>
        <v>895.00640204865556</v>
      </c>
      <c r="K330" s="6">
        <v>351</v>
      </c>
      <c r="L330" s="6">
        <v>175</v>
      </c>
      <c r="M330" s="6">
        <v>176</v>
      </c>
      <c r="N330" s="7">
        <f t="shared" si="16"/>
        <v>23.716216216216214</v>
      </c>
      <c r="O330" s="6">
        <v>843</v>
      </c>
      <c r="P330" s="6">
        <v>518</v>
      </c>
      <c r="Q330" s="6">
        <v>325</v>
      </c>
      <c r="R330" s="7">
        <v>69.21182266009852</v>
      </c>
      <c r="S330" s="7">
        <v>80.685358255451717</v>
      </c>
      <c r="T330" s="7">
        <v>56.423611111111114</v>
      </c>
      <c r="U330" s="15">
        <f t="shared" si="17"/>
        <v>2</v>
      </c>
    </row>
    <row r="331" spans="1:21" ht="18.75" customHeight="1">
      <c r="A331" s="16">
        <v>339</v>
      </c>
      <c r="B331" s="3">
        <v>24</v>
      </c>
      <c r="C331" s="4" t="s">
        <v>361</v>
      </c>
      <c r="D331" s="9" t="s">
        <v>441</v>
      </c>
      <c r="E331" s="5" t="s">
        <v>338</v>
      </c>
      <c r="F331" s="6">
        <v>78</v>
      </c>
      <c r="G331" s="6">
        <v>403</v>
      </c>
      <c r="H331" s="6">
        <v>211</v>
      </c>
      <c r="I331" s="6">
        <v>192</v>
      </c>
      <c r="J331" s="17">
        <f>I331/H331*1000</f>
        <v>909.95260663507099</v>
      </c>
      <c r="K331" s="6">
        <v>57</v>
      </c>
      <c r="L331" s="6">
        <v>30</v>
      </c>
      <c r="M331" s="6">
        <v>27</v>
      </c>
      <c r="N331" s="7">
        <f t="shared" si="16"/>
        <v>14.143920595533499</v>
      </c>
      <c r="O331" s="6">
        <v>252</v>
      </c>
      <c r="P331" s="6">
        <v>144</v>
      </c>
      <c r="Q331" s="6">
        <v>108</v>
      </c>
      <c r="R331" s="7">
        <v>72.206303724928361</v>
      </c>
      <c r="S331" s="7">
        <v>82.758620689655174</v>
      </c>
      <c r="T331" s="7">
        <v>61.714285714285708</v>
      </c>
      <c r="U331" s="15">
        <f t="shared" si="17"/>
        <v>1</v>
      </c>
    </row>
    <row r="332" spans="1:21" ht="18.75" customHeight="1">
      <c r="A332" s="16">
        <v>340</v>
      </c>
      <c r="B332" s="3">
        <v>25</v>
      </c>
      <c r="C332" s="4" t="s">
        <v>362</v>
      </c>
      <c r="D332" s="9" t="s">
        <v>441</v>
      </c>
      <c r="E332" s="5" t="s">
        <v>338</v>
      </c>
      <c r="F332" s="6">
        <v>91</v>
      </c>
      <c r="G332" s="6">
        <v>460</v>
      </c>
      <c r="H332" s="6">
        <v>243</v>
      </c>
      <c r="I332" s="6">
        <v>217</v>
      </c>
      <c r="J332" s="17">
        <f t="shared" si="15"/>
        <v>893.00411522633749</v>
      </c>
      <c r="K332" s="6">
        <v>126</v>
      </c>
      <c r="L332" s="6">
        <v>65</v>
      </c>
      <c r="M332" s="6">
        <v>61</v>
      </c>
      <c r="N332" s="7">
        <f t="shared" si="16"/>
        <v>27.391304347826086</v>
      </c>
      <c r="O332" s="6">
        <v>321</v>
      </c>
      <c r="P332" s="6">
        <v>188</v>
      </c>
      <c r="Q332" s="6">
        <v>133</v>
      </c>
      <c r="R332" s="7">
        <v>78.86977886977887</v>
      </c>
      <c r="S332" s="7">
        <v>88.679245283018872</v>
      </c>
      <c r="T332" s="7">
        <v>68.205128205128204</v>
      </c>
      <c r="U332" s="15">
        <f t="shared" si="17"/>
        <v>2</v>
      </c>
    </row>
    <row r="333" spans="1:21" ht="18.75" customHeight="1">
      <c r="A333" s="16">
        <v>341</v>
      </c>
      <c r="B333" s="3">
        <v>26</v>
      </c>
      <c r="C333" s="4" t="s">
        <v>363</v>
      </c>
      <c r="D333" s="9" t="s">
        <v>441</v>
      </c>
      <c r="E333" s="5" t="s">
        <v>338</v>
      </c>
      <c r="F333" s="6">
        <v>67</v>
      </c>
      <c r="G333" s="6">
        <v>314</v>
      </c>
      <c r="H333" s="6">
        <v>160</v>
      </c>
      <c r="I333" s="6">
        <v>154</v>
      </c>
      <c r="J333" s="17">
        <f t="shared" si="15"/>
        <v>962.5</v>
      </c>
      <c r="K333" s="6">
        <v>1</v>
      </c>
      <c r="L333" s="6">
        <v>1</v>
      </c>
      <c r="M333" s="6">
        <v>0</v>
      </c>
      <c r="N333" s="7">
        <f t="shared" si="16"/>
        <v>0.31847133757961787</v>
      </c>
      <c r="O333" s="6">
        <v>204</v>
      </c>
      <c r="P333" s="6">
        <v>116</v>
      </c>
      <c r="Q333" s="6">
        <v>88</v>
      </c>
      <c r="R333" s="7">
        <v>75.276752767527682</v>
      </c>
      <c r="S333" s="7">
        <v>84.05797101449275</v>
      </c>
      <c r="T333" s="7">
        <v>66.165413533834581</v>
      </c>
      <c r="U333" s="15">
        <f t="shared" si="17"/>
        <v>1</v>
      </c>
    </row>
    <row r="334" spans="1:21" ht="18.75" customHeight="1">
      <c r="A334" s="16">
        <v>342</v>
      </c>
      <c r="B334" s="3">
        <v>27</v>
      </c>
      <c r="C334" s="4" t="s">
        <v>364</v>
      </c>
      <c r="D334" s="9" t="s">
        <v>441</v>
      </c>
      <c r="E334" s="5" t="s">
        <v>338</v>
      </c>
      <c r="F334" s="6">
        <v>366</v>
      </c>
      <c r="G334" s="6">
        <v>1885</v>
      </c>
      <c r="H334" s="6">
        <v>983</v>
      </c>
      <c r="I334" s="6">
        <v>902</v>
      </c>
      <c r="J334" s="17">
        <f t="shared" si="15"/>
        <v>917.59918616480161</v>
      </c>
      <c r="K334" s="6">
        <v>399</v>
      </c>
      <c r="L334" s="6">
        <v>207</v>
      </c>
      <c r="M334" s="6">
        <v>192</v>
      </c>
      <c r="N334" s="7">
        <f t="shared" si="16"/>
        <v>21.167108753315649</v>
      </c>
      <c r="O334" s="6">
        <v>1146</v>
      </c>
      <c r="P334" s="6">
        <v>659</v>
      </c>
      <c r="Q334" s="6">
        <v>487</v>
      </c>
      <c r="R334" s="7">
        <v>68.911605532170768</v>
      </c>
      <c r="S334" s="7">
        <v>76.538908246225319</v>
      </c>
      <c r="T334" s="7">
        <v>60.723192019950126</v>
      </c>
      <c r="U334" s="15">
        <f t="shared" si="17"/>
        <v>1</v>
      </c>
    </row>
    <row r="335" spans="1:21" ht="18.75" customHeight="1">
      <c r="A335" s="16">
        <v>343</v>
      </c>
      <c r="B335" s="3">
        <v>28</v>
      </c>
      <c r="C335" s="4" t="s">
        <v>365</v>
      </c>
      <c r="D335" s="9" t="s">
        <v>441</v>
      </c>
      <c r="E335" s="5" t="s">
        <v>338</v>
      </c>
      <c r="F335" s="6">
        <v>257</v>
      </c>
      <c r="G335" s="6">
        <v>1420</v>
      </c>
      <c r="H335" s="6">
        <v>723</v>
      </c>
      <c r="I335" s="6">
        <v>697</v>
      </c>
      <c r="J335" s="17">
        <f t="shared" si="15"/>
        <v>964.03872752420477</v>
      </c>
      <c r="K335" s="6">
        <v>314</v>
      </c>
      <c r="L335" s="6">
        <v>153</v>
      </c>
      <c r="M335" s="6">
        <v>161</v>
      </c>
      <c r="N335" s="7">
        <f t="shared" si="16"/>
        <v>22.112676056338028</v>
      </c>
      <c r="O335" s="6">
        <v>930</v>
      </c>
      <c r="P335" s="6">
        <v>528</v>
      </c>
      <c r="Q335" s="6">
        <v>402</v>
      </c>
      <c r="R335" s="7">
        <v>75.54833468724614</v>
      </c>
      <c r="S335" s="7">
        <v>83.544303797468359</v>
      </c>
      <c r="T335" s="7">
        <v>67.1118530884808</v>
      </c>
      <c r="U335" s="15">
        <f t="shared" si="17"/>
        <v>1</v>
      </c>
    </row>
    <row r="336" spans="1:21" ht="18.75" customHeight="1">
      <c r="A336" s="16">
        <v>344</v>
      </c>
      <c r="B336" s="3">
        <v>29</v>
      </c>
      <c r="C336" s="4" t="s">
        <v>366</v>
      </c>
      <c r="D336" s="9" t="s">
        <v>441</v>
      </c>
      <c r="E336" s="5" t="s">
        <v>338</v>
      </c>
      <c r="F336" s="6">
        <v>281</v>
      </c>
      <c r="G336" s="6">
        <v>1439</v>
      </c>
      <c r="H336" s="6">
        <v>752</v>
      </c>
      <c r="I336" s="6">
        <v>687</v>
      </c>
      <c r="J336" s="17">
        <f t="shared" si="15"/>
        <v>913.563829787234</v>
      </c>
      <c r="K336" s="6">
        <v>264</v>
      </c>
      <c r="L336" s="6">
        <v>132</v>
      </c>
      <c r="M336" s="6">
        <v>132</v>
      </c>
      <c r="N336" s="7">
        <f t="shared" si="16"/>
        <v>18.346073662265461</v>
      </c>
      <c r="O336" s="6">
        <v>915</v>
      </c>
      <c r="P336" s="6">
        <v>524</v>
      </c>
      <c r="Q336" s="6">
        <v>391</v>
      </c>
      <c r="R336" s="7">
        <v>71.877454831107627</v>
      </c>
      <c r="S336" s="7">
        <v>78.915662650602414</v>
      </c>
      <c r="T336" s="7">
        <v>64.203612479474543</v>
      </c>
      <c r="U336" s="15">
        <f t="shared" si="17"/>
        <v>1</v>
      </c>
    </row>
    <row r="337" spans="1:21" ht="18.75" customHeight="1">
      <c r="A337" s="16">
        <v>345</v>
      </c>
      <c r="B337" s="3">
        <v>30</v>
      </c>
      <c r="C337" s="4" t="s">
        <v>367</v>
      </c>
      <c r="D337" s="9" t="s">
        <v>441</v>
      </c>
      <c r="E337" s="5" t="s">
        <v>338</v>
      </c>
      <c r="F337" s="6">
        <v>316</v>
      </c>
      <c r="G337" s="6">
        <v>1657</v>
      </c>
      <c r="H337" s="6">
        <v>856</v>
      </c>
      <c r="I337" s="6">
        <v>801</v>
      </c>
      <c r="J337" s="17">
        <f t="shared" si="15"/>
        <v>935.74766355140184</v>
      </c>
      <c r="K337" s="6">
        <v>417</v>
      </c>
      <c r="L337" s="6">
        <v>222</v>
      </c>
      <c r="M337" s="6">
        <v>195</v>
      </c>
      <c r="N337" s="7">
        <f t="shared" si="16"/>
        <v>25.165962582981294</v>
      </c>
      <c r="O337" s="6">
        <v>1063</v>
      </c>
      <c r="P337" s="6">
        <v>602</v>
      </c>
      <c r="Q337" s="6">
        <v>461</v>
      </c>
      <c r="R337" s="7">
        <v>72.460804362644851</v>
      </c>
      <c r="S337" s="7">
        <v>81.461434370771315</v>
      </c>
      <c r="T337" s="7">
        <v>63.324175824175825</v>
      </c>
      <c r="U337" s="15">
        <f t="shared" si="17"/>
        <v>1</v>
      </c>
    </row>
    <row r="338" spans="1:21" ht="18.75" customHeight="1">
      <c r="A338" s="16">
        <v>346</v>
      </c>
      <c r="B338" s="3">
        <v>31</v>
      </c>
      <c r="C338" s="4" t="s">
        <v>368</v>
      </c>
      <c r="D338" s="9" t="s">
        <v>441</v>
      </c>
      <c r="E338" s="5" t="s">
        <v>338</v>
      </c>
      <c r="F338" s="6">
        <v>397</v>
      </c>
      <c r="G338" s="6">
        <v>2039</v>
      </c>
      <c r="H338" s="6">
        <v>1070</v>
      </c>
      <c r="I338" s="6">
        <v>969</v>
      </c>
      <c r="J338" s="17">
        <f t="shared" si="15"/>
        <v>905.60747663551399</v>
      </c>
      <c r="K338" s="6">
        <v>431</v>
      </c>
      <c r="L338" s="6">
        <v>214</v>
      </c>
      <c r="M338" s="6">
        <v>217</v>
      </c>
      <c r="N338" s="7">
        <f t="shared" si="16"/>
        <v>21.137812653261403</v>
      </c>
      <c r="O338" s="6">
        <v>1250</v>
      </c>
      <c r="P338" s="6">
        <v>695</v>
      </c>
      <c r="Q338" s="6">
        <v>555</v>
      </c>
      <c r="R338" s="7">
        <v>70.541760722347632</v>
      </c>
      <c r="S338" s="7">
        <v>75.461454940282309</v>
      </c>
      <c r="T338" s="7">
        <v>65.217391304347828</v>
      </c>
      <c r="U338" s="15">
        <f t="shared" si="17"/>
        <v>1</v>
      </c>
    </row>
    <row r="339" spans="1:21" ht="18.75" customHeight="1">
      <c r="A339" s="16">
        <v>347</v>
      </c>
      <c r="B339" s="3">
        <v>32</v>
      </c>
      <c r="C339" s="4" t="s">
        <v>369</v>
      </c>
      <c r="D339" s="9" t="s">
        <v>441</v>
      </c>
      <c r="E339" s="5" t="s">
        <v>338</v>
      </c>
      <c r="F339" s="6">
        <v>12</v>
      </c>
      <c r="G339" s="6">
        <v>70</v>
      </c>
      <c r="H339" s="6">
        <v>39</v>
      </c>
      <c r="I339" s="6">
        <v>31</v>
      </c>
      <c r="J339" s="17">
        <f t="shared" si="15"/>
        <v>794.8717948717948</v>
      </c>
      <c r="K339" s="6">
        <v>0</v>
      </c>
      <c r="L339" s="6">
        <v>0</v>
      </c>
      <c r="M339" s="6">
        <v>0</v>
      </c>
      <c r="N339" s="7">
        <f t="shared" si="16"/>
        <v>0</v>
      </c>
      <c r="O339" s="6">
        <v>48</v>
      </c>
      <c r="P339" s="6">
        <v>25</v>
      </c>
      <c r="Q339" s="6">
        <v>23</v>
      </c>
      <c r="R339" s="7">
        <v>77.41935483870968</v>
      </c>
      <c r="S339" s="7">
        <v>75.757575757575751</v>
      </c>
      <c r="T339" s="7">
        <v>79.310344827586206</v>
      </c>
      <c r="U339" s="15">
        <f t="shared" si="17"/>
        <v>3</v>
      </c>
    </row>
    <row r="340" spans="1:21" ht="18.75" customHeight="1">
      <c r="A340" s="16">
        <v>348</v>
      </c>
      <c r="B340" s="3">
        <v>33</v>
      </c>
      <c r="C340" s="4" t="s">
        <v>370</v>
      </c>
      <c r="D340" s="9" t="s">
        <v>441</v>
      </c>
      <c r="E340" s="5" t="s">
        <v>338</v>
      </c>
      <c r="F340" s="6">
        <v>144</v>
      </c>
      <c r="G340" s="6">
        <v>801</v>
      </c>
      <c r="H340" s="6">
        <v>412</v>
      </c>
      <c r="I340" s="6">
        <v>389</v>
      </c>
      <c r="J340" s="17">
        <f t="shared" si="15"/>
        <v>944.17475728155341</v>
      </c>
      <c r="K340" s="6">
        <v>173</v>
      </c>
      <c r="L340" s="6">
        <v>87</v>
      </c>
      <c r="M340" s="6">
        <v>86</v>
      </c>
      <c r="N340" s="7">
        <f t="shared" si="16"/>
        <v>21.598002496878902</v>
      </c>
      <c r="O340" s="6">
        <v>474</v>
      </c>
      <c r="P340" s="6">
        <v>252</v>
      </c>
      <c r="Q340" s="6">
        <v>222</v>
      </c>
      <c r="R340" s="7">
        <v>68.201438848920859</v>
      </c>
      <c r="S340" s="7">
        <v>70.786516853932582</v>
      </c>
      <c r="T340" s="7">
        <v>65.486725663716811</v>
      </c>
      <c r="U340" s="15">
        <f t="shared" si="17"/>
        <v>1</v>
      </c>
    </row>
    <row r="341" spans="1:21" ht="18.75" customHeight="1">
      <c r="A341" s="16">
        <v>349</v>
      </c>
      <c r="B341" s="3">
        <v>34</v>
      </c>
      <c r="C341" s="4" t="s">
        <v>371</v>
      </c>
      <c r="D341" s="9" t="s">
        <v>441</v>
      </c>
      <c r="E341" s="5" t="s">
        <v>338</v>
      </c>
      <c r="F341" s="6">
        <v>296</v>
      </c>
      <c r="G341" s="6">
        <v>1552</v>
      </c>
      <c r="H341" s="6">
        <v>806</v>
      </c>
      <c r="I341" s="6">
        <v>746</v>
      </c>
      <c r="J341" s="17">
        <f t="shared" si="15"/>
        <v>925.55831265508687</v>
      </c>
      <c r="K341" s="6">
        <v>302</v>
      </c>
      <c r="L341" s="6">
        <v>162</v>
      </c>
      <c r="M341" s="6">
        <v>140</v>
      </c>
      <c r="N341" s="7">
        <f t="shared" si="16"/>
        <v>19.458762886597938</v>
      </c>
      <c r="O341" s="6">
        <v>1060</v>
      </c>
      <c r="P341" s="6">
        <v>605</v>
      </c>
      <c r="Q341" s="6">
        <v>455</v>
      </c>
      <c r="R341" s="7">
        <v>76.700434153400863</v>
      </c>
      <c r="S341" s="7">
        <v>84.615384615384613</v>
      </c>
      <c r="T341" s="7">
        <v>68.215892053973022</v>
      </c>
      <c r="U341" s="15">
        <f t="shared" si="17"/>
        <v>1</v>
      </c>
    </row>
    <row r="342" spans="1:21" ht="18.75" customHeight="1">
      <c r="A342" s="16">
        <v>350</v>
      </c>
      <c r="B342" s="3">
        <v>35</v>
      </c>
      <c r="C342" s="4" t="s">
        <v>372</v>
      </c>
      <c r="D342" s="9" t="s">
        <v>441</v>
      </c>
      <c r="E342" s="5" t="s">
        <v>338</v>
      </c>
      <c r="F342" s="6">
        <v>109</v>
      </c>
      <c r="G342" s="6">
        <v>567</v>
      </c>
      <c r="H342" s="6">
        <v>315</v>
      </c>
      <c r="I342" s="6">
        <v>252</v>
      </c>
      <c r="J342" s="17">
        <f t="shared" si="15"/>
        <v>800</v>
      </c>
      <c r="K342" s="6">
        <v>72</v>
      </c>
      <c r="L342" s="6">
        <v>47</v>
      </c>
      <c r="M342" s="6">
        <v>25</v>
      </c>
      <c r="N342" s="7">
        <f t="shared" si="16"/>
        <v>12.698412698412698</v>
      </c>
      <c r="O342" s="6">
        <v>428</v>
      </c>
      <c r="P342" s="6">
        <v>255</v>
      </c>
      <c r="Q342" s="6">
        <v>173</v>
      </c>
      <c r="R342" s="7">
        <v>83.268482490272376</v>
      </c>
      <c r="S342" s="7">
        <v>91.397849462365585</v>
      </c>
      <c r="T342" s="7">
        <v>73.617021276595736</v>
      </c>
      <c r="U342" s="15">
        <f t="shared" si="17"/>
        <v>3</v>
      </c>
    </row>
    <row r="343" spans="1:21" ht="18.75" customHeight="1">
      <c r="A343" s="16">
        <v>351</v>
      </c>
      <c r="B343" s="3">
        <v>36</v>
      </c>
      <c r="C343" s="4" t="s">
        <v>373</v>
      </c>
      <c r="D343" s="9" t="s">
        <v>441</v>
      </c>
      <c r="E343" s="5" t="s">
        <v>338</v>
      </c>
      <c r="F343" s="6">
        <v>252</v>
      </c>
      <c r="G343" s="6">
        <v>1284</v>
      </c>
      <c r="H343" s="6">
        <v>660</v>
      </c>
      <c r="I343" s="6">
        <v>624</v>
      </c>
      <c r="J343" s="17">
        <f t="shared" si="15"/>
        <v>945.45454545454538</v>
      </c>
      <c r="K343" s="6">
        <v>943</v>
      </c>
      <c r="L343" s="6">
        <v>479</v>
      </c>
      <c r="M343" s="6">
        <v>464</v>
      </c>
      <c r="N343" s="7">
        <f t="shared" si="16"/>
        <v>73.442367601246104</v>
      </c>
      <c r="O343" s="6">
        <v>752</v>
      </c>
      <c r="P343" s="6">
        <v>442</v>
      </c>
      <c r="Q343" s="6">
        <v>310</v>
      </c>
      <c r="R343" s="7">
        <v>69.694161260426327</v>
      </c>
      <c r="S343" s="7">
        <v>79.35368043087972</v>
      </c>
      <c r="T343" s="7">
        <v>59.38697318007663</v>
      </c>
      <c r="U343" s="15">
        <f t="shared" si="17"/>
        <v>1</v>
      </c>
    </row>
    <row r="344" spans="1:21" ht="18.75" customHeight="1">
      <c r="A344" s="16">
        <v>352</v>
      </c>
      <c r="B344" s="3">
        <v>37</v>
      </c>
      <c r="C344" s="4" t="s">
        <v>374</v>
      </c>
      <c r="D344" s="9" t="s">
        <v>441</v>
      </c>
      <c r="E344" s="5" t="s">
        <v>338</v>
      </c>
      <c r="F344" s="6">
        <v>667</v>
      </c>
      <c r="G344" s="6">
        <v>3762</v>
      </c>
      <c r="H344" s="6">
        <v>1973</v>
      </c>
      <c r="I344" s="6">
        <v>1789</v>
      </c>
      <c r="J344" s="17">
        <f t="shared" si="15"/>
        <v>906.74100354789653</v>
      </c>
      <c r="K344" s="6">
        <v>353</v>
      </c>
      <c r="L344" s="6">
        <v>180</v>
      </c>
      <c r="M344" s="6">
        <v>173</v>
      </c>
      <c r="N344" s="7">
        <f t="shared" si="16"/>
        <v>9.3833067517278046</v>
      </c>
      <c r="O344" s="6">
        <v>2504</v>
      </c>
      <c r="P344" s="6">
        <v>1441</v>
      </c>
      <c r="Q344" s="6">
        <v>1063</v>
      </c>
      <c r="R344" s="7">
        <v>75.855801272341722</v>
      </c>
      <c r="S344" s="7">
        <v>84.417106033977745</v>
      </c>
      <c r="T344" s="7">
        <v>66.687578419071514</v>
      </c>
      <c r="U344" s="15">
        <f t="shared" si="17"/>
        <v>1</v>
      </c>
    </row>
    <row r="345" spans="1:21" ht="18.75" customHeight="1">
      <c r="A345" s="16">
        <v>353</v>
      </c>
      <c r="B345" s="3">
        <v>38</v>
      </c>
      <c r="C345" s="4" t="s">
        <v>375</v>
      </c>
      <c r="D345" s="9" t="s">
        <v>441</v>
      </c>
      <c r="E345" s="5" t="s">
        <v>338</v>
      </c>
      <c r="F345" s="6">
        <v>105</v>
      </c>
      <c r="G345" s="6">
        <v>547</v>
      </c>
      <c r="H345" s="6">
        <v>291</v>
      </c>
      <c r="I345" s="6">
        <v>256</v>
      </c>
      <c r="J345" s="17">
        <f t="shared" si="15"/>
        <v>879.72508591065287</v>
      </c>
      <c r="K345" s="6">
        <v>40</v>
      </c>
      <c r="L345" s="6">
        <v>20</v>
      </c>
      <c r="M345" s="6">
        <v>20</v>
      </c>
      <c r="N345" s="7">
        <f t="shared" si="16"/>
        <v>7.3126142595978063</v>
      </c>
      <c r="O345" s="6">
        <v>340</v>
      </c>
      <c r="P345" s="6">
        <v>198</v>
      </c>
      <c r="Q345" s="6">
        <v>142</v>
      </c>
      <c r="R345" s="7">
        <v>68.965517241379317</v>
      </c>
      <c r="S345" s="7">
        <v>76.447876447876453</v>
      </c>
      <c r="T345" s="7">
        <v>60.683760683760681</v>
      </c>
      <c r="U345" s="15">
        <f t="shared" si="17"/>
        <v>2</v>
      </c>
    </row>
    <row r="346" spans="1:21" ht="18.75" customHeight="1">
      <c r="A346" s="16">
        <v>354</v>
      </c>
      <c r="B346" s="3">
        <v>39</v>
      </c>
      <c r="C346" s="4" t="s">
        <v>376</v>
      </c>
      <c r="D346" s="9" t="s">
        <v>441</v>
      </c>
      <c r="E346" s="5" t="s">
        <v>338</v>
      </c>
      <c r="F346" s="6">
        <v>114</v>
      </c>
      <c r="G346" s="6">
        <v>645</v>
      </c>
      <c r="H346" s="6">
        <v>345</v>
      </c>
      <c r="I346" s="6">
        <v>300</v>
      </c>
      <c r="J346" s="17">
        <f t="shared" si="15"/>
        <v>869.56521739130437</v>
      </c>
      <c r="K346" s="6">
        <v>25</v>
      </c>
      <c r="L346" s="6">
        <v>11</v>
      </c>
      <c r="M346" s="6">
        <v>14</v>
      </c>
      <c r="N346" s="7">
        <f t="shared" si="16"/>
        <v>3.8759689922480618</v>
      </c>
      <c r="O346" s="6">
        <v>467</v>
      </c>
      <c r="P346" s="6">
        <v>270</v>
      </c>
      <c r="Q346" s="6">
        <v>197</v>
      </c>
      <c r="R346" s="7">
        <v>77.446102819237154</v>
      </c>
      <c r="S346" s="7">
        <v>85.714285714285708</v>
      </c>
      <c r="T346" s="7">
        <v>68.402777777777786</v>
      </c>
      <c r="U346" s="15">
        <f t="shared" si="17"/>
        <v>2</v>
      </c>
    </row>
    <row r="347" spans="1:21" ht="18.75" customHeight="1">
      <c r="A347" s="16">
        <v>355</v>
      </c>
      <c r="B347" s="3">
        <v>40</v>
      </c>
      <c r="C347" s="4" t="s">
        <v>377</v>
      </c>
      <c r="D347" s="9" t="s">
        <v>441</v>
      </c>
      <c r="E347" s="5" t="s">
        <v>338</v>
      </c>
      <c r="F347" s="6">
        <v>81</v>
      </c>
      <c r="G347" s="6">
        <v>442</v>
      </c>
      <c r="H347" s="6">
        <v>230</v>
      </c>
      <c r="I347" s="6">
        <v>212</v>
      </c>
      <c r="J347" s="17">
        <f t="shared" si="15"/>
        <v>921.73913043478262</v>
      </c>
      <c r="K347" s="6">
        <v>193</v>
      </c>
      <c r="L347" s="6">
        <v>98</v>
      </c>
      <c r="M347" s="6">
        <v>95</v>
      </c>
      <c r="N347" s="7">
        <f t="shared" si="16"/>
        <v>43.665158371040725</v>
      </c>
      <c r="O347" s="6">
        <v>268</v>
      </c>
      <c r="P347" s="6">
        <v>153</v>
      </c>
      <c r="Q347" s="6">
        <v>115</v>
      </c>
      <c r="R347" s="7">
        <v>71.087533156498665</v>
      </c>
      <c r="S347" s="7">
        <v>78.865979381443296</v>
      </c>
      <c r="T347" s="7">
        <v>62.841530054644814</v>
      </c>
      <c r="U347" s="15">
        <f t="shared" si="17"/>
        <v>1</v>
      </c>
    </row>
    <row r="348" spans="1:21" ht="18.75" customHeight="1">
      <c r="A348" s="16">
        <v>356</v>
      </c>
      <c r="B348" s="3">
        <v>41</v>
      </c>
      <c r="C348" s="4" t="s">
        <v>378</v>
      </c>
      <c r="D348" s="9" t="s">
        <v>441</v>
      </c>
      <c r="E348" s="5" t="s">
        <v>338</v>
      </c>
      <c r="F348" s="6">
        <v>545</v>
      </c>
      <c r="G348" s="6">
        <v>2832</v>
      </c>
      <c r="H348" s="6">
        <v>1503</v>
      </c>
      <c r="I348" s="6">
        <v>1329</v>
      </c>
      <c r="J348" s="17">
        <f t="shared" si="15"/>
        <v>884.23153692614778</v>
      </c>
      <c r="K348" s="6">
        <v>779</v>
      </c>
      <c r="L348" s="6">
        <v>411</v>
      </c>
      <c r="M348" s="6">
        <v>368</v>
      </c>
      <c r="N348" s="7">
        <f t="shared" si="16"/>
        <v>27.507062146892657</v>
      </c>
      <c r="O348" s="6">
        <v>1748</v>
      </c>
      <c r="P348" s="6">
        <v>965</v>
      </c>
      <c r="Q348" s="6">
        <v>783</v>
      </c>
      <c r="R348" s="7">
        <v>70.62626262626263</v>
      </c>
      <c r="S348" s="7">
        <v>74.574961360123652</v>
      </c>
      <c r="T348" s="7">
        <v>66.299745977984756</v>
      </c>
      <c r="U348" s="15">
        <f t="shared" si="17"/>
        <v>2</v>
      </c>
    </row>
    <row r="349" spans="1:21" ht="18.75" customHeight="1">
      <c r="A349" s="16">
        <v>357</v>
      </c>
      <c r="B349" s="3">
        <v>42</v>
      </c>
      <c r="C349" s="4" t="s">
        <v>379</v>
      </c>
      <c r="D349" s="9" t="s">
        <v>441</v>
      </c>
      <c r="E349" s="5" t="s">
        <v>338</v>
      </c>
      <c r="F349" s="6">
        <v>239</v>
      </c>
      <c r="G349" s="6">
        <v>1254</v>
      </c>
      <c r="H349" s="6">
        <v>692</v>
      </c>
      <c r="I349" s="6">
        <v>562</v>
      </c>
      <c r="J349" s="17">
        <f t="shared" si="15"/>
        <v>812.13872832369941</v>
      </c>
      <c r="K349" s="6">
        <v>363</v>
      </c>
      <c r="L349" s="6">
        <v>207</v>
      </c>
      <c r="M349" s="6">
        <v>156</v>
      </c>
      <c r="N349" s="7">
        <f t="shared" si="16"/>
        <v>28.947368421052634</v>
      </c>
      <c r="O349" s="6">
        <v>743</v>
      </c>
      <c r="P349" s="6">
        <v>464</v>
      </c>
      <c r="Q349" s="6">
        <v>279</v>
      </c>
      <c r="R349" s="7">
        <v>67.23981900452489</v>
      </c>
      <c r="S349" s="7">
        <v>76.567656765676574</v>
      </c>
      <c r="T349" s="7">
        <v>55.91182364729459</v>
      </c>
      <c r="U349" s="15">
        <f t="shared" si="17"/>
        <v>2</v>
      </c>
    </row>
    <row r="350" spans="1:21" ht="18.75" customHeight="1">
      <c r="A350" s="16">
        <v>358</v>
      </c>
      <c r="B350" s="3">
        <v>43</v>
      </c>
      <c r="C350" s="4" t="s">
        <v>380</v>
      </c>
      <c r="D350" s="9" t="s">
        <v>441</v>
      </c>
      <c r="E350" s="5" t="s">
        <v>338</v>
      </c>
      <c r="F350" s="6">
        <v>158</v>
      </c>
      <c r="G350" s="6">
        <v>864</v>
      </c>
      <c r="H350" s="6">
        <v>447</v>
      </c>
      <c r="I350" s="6">
        <v>417</v>
      </c>
      <c r="J350" s="17">
        <f t="shared" si="15"/>
        <v>932.88590604026842</v>
      </c>
      <c r="K350" s="6">
        <v>210</v>
      </c>
      <c r="L350" s="6">
        <v>100</v>
      </c>
      <c r="M350" s="6">
        <v>110</v>
      </c>
      <c r="N350" s="7">
        <f t="shared" si="16"/>
        <v>24.305555555555554</v>
      </c>
      <c r="O350" s="6">
        <v>540</v>
      </c>
      <c r="P350" s="6">
        <v>292</v>
      </c>
      <c r="Q350" s="6">
        <v>248</v>
      </c>
      <c r="R350" s="7">
        <v>71.618037135278513</v>
      </c>
      <c r="S350" s="7">
        <v>75.647668393782382</v>
      </c>
      <c r="T350" s="7">
        <v>67.391304347826093</v>
      </c>
      <c r="U350" s="15">
        <f t="shared" si="17"/>
        <v>1</v>
      </c>
    </row>
    <row r="351" spans="1:21" ht="18.75" customHeight="1">
      <c r="A351" s="16">
        <v>359</v>
      </c>
      <c r="B351" s="3">
        <v>44</v>
      </c>
      <c r="C351" s="4" t="s">
        <v>381</v>
      </c>
      <c r="D351" s="9" t="s">
        <v>441</v>
      </c>
      <c r="E351" s="5" t="s">
        <v>338</v>
      </c>
      <c r="F351" s="6">
        <v>156</v>
      </c>
      <c r="G351" s="6">
        <v>833</v>
      </c>
      <c r="H351" s="6">
        <v>444</v>
      </c>
      <c r="I351" s="6">
        <v>389</v>
      </c>
      <c r="J351" s="17">
        <f t="shared" si="15"/>
        <v>876.12612612612622</v>
      </c>
      <c r="K351" s="6">
        <v>392</v>
      </c>
      <c r="L351" s="6">
        <v>223</v>
      </c>
      <c r="M351" s="6">
        <v>169</v>
      </c>
      <c r="N351" s="7">
        <f t="shared" si="16"/>
        <v>47.058823529411761</v>
      </c>
      <c r="O351" s="6">
        <v>526</v>
      </c>
      <c r="P351" s="6">
        <v>305</v>
      </c>
      <c r="Q351" s="6">
        <v>221</v>
      </c>
      <c r="R351" s="7">
        <v>72.352132049518573</v>
      </c>
      <c r="S351" s="7">
        <v>79.63446475195822</v>
      </c>
      <c r="T351" s="7">
        <v>64.244186046511629</v>
      </c>
      <c r="U351" s="15">
        <f t="shared" si="17"/>
        <v>2</v>
      </c>
    </row>
    <row r="352" spans="1:21" ht="18.75" customHeight="1">
      <c r="A352" s="16">
        <v>360</v>
      </c>
      <c r="B352" s="3">
        <v>45</v>
      </c>
      <c r="C352" s="4" t="s">
        <v>382</v>
      </c>
      <c r="D352" s="9" t="s">
        <v>441</v>
      </c>
      <c r="E352" s="5" t="s">
        <v>338</v>
      </c>
      <c r="F352" s="6">
        <v>216</v>
      </c>
      <c r="G352" s="6">
        <v>1227</v>
      </c>
      <c r="H352" s="6">
        <v>648</v>
      </c>
      <c r="I352" s="6">
        <v>579</v>
      </c>
      <c r="J352" s="17">
        <f t="shared" si="15"/>
        <v>893.51851851851848</v>
      </c>
      <c r="K352" s="6">
        <v>357</v>
      </c>
      <c r="L352" s="6">
        <v>195</v>
      </c>
      <c r="M352" s="6">
        <v>162</v>
      </c>
      <c r="N352" s="7">
        <f t="shared" si="16"/>
        <v>29.095354523227385</v>
      </c>
      <c r="O352" s="6">
        <v>805</v>
      </c>
      <c r="P352" s="6">
        <v>490</v>
      </c>
      <c r="Q352" s="6">
        <v>315</v>
      </c>
      <c r="R352" s="7">
        <v>74.814126394052053</v>
      </c>
      <c r="S352" s="7">
        <v>85.814360770577935</v>
      </c>
      <c r="T352" s="7">
        <v>62.376237623762378</v>
      </c>
      <c r="U352" s="15">
        <f t="shared" si="17"/>
        <v>2</v>
      </c>
    </row>
    <row r="353" spans="1:21" ht="18.75" customHeight="1">
      <c r="A353" s="16">
        <v>361</v>
      </c>
      <c r="B353" s="3">
        <v>46</v>
      </c>
      <c r="C353" s="4" t="s">
        <v>383</v>
      </c>
      <c r="D353" s="9" t="s">
        <v>441</v>
      </c>
      <c r="E353" s="5" t="s">
        <v>338</v>
      </c>
      <c r="F353" s="6">
        <v>306</v>
      </c>
      <c r="G353" s="6">
        <v>1464</v>
      </c>
      <c r="H353" s="6">
        <v>785</v>
      </c>
      <c r="I353" s="6">
        <v>679</v>
      </c>
      <c r="J353" s="17">
        <f t="shared" si="15"/>
        <v>864.96815286624212</v>
      </c>
      <c r="K353" s="6">
        <v>351</v>
      </c>
      <c r="L353" s="6">
        <v>184</v>
      </c>
      <c r="M353" s="6">
        <v>167</v>
      </c>
      <c r="N353" s="7">
        <f t="shared" si="16"/>
        <v>23.975409836065573</v>
      </c>
      <c r="O353" s="6">
        <v>1013</v>
      </c>
      <c r="P353" s="6">
        <v>584</v>
      </c>
      <c r="Q353" s="6">
        <v>429</v>
      </c>
      <c r="R353" s="7">
        <v>77.21036585365853</v>
      </c>
      <c r="S353" s="7">
        <v>83.908045977011497</v>
      </c>
      <c r="T353" s="7">
        <v>69.642857142857139</v>
      </c>
      <c r="U353" s="15">
        <f t="shared" si="17"/>
        <v>2</v>
      </c>
    </row>
    <row r="354" spans="1:21" ht="18.75" customHeight="1">
      <c r="A354" s="16">
        <v>362</v>
      </c>
      <c r="B354" s="3">
        <v>47</v>
      </c>
      <c r="C354" s="4" t="s">
        <v>384</v>
      </c>
      <c r="D354" s="9" t="s">
        <v>441</v>
      </c>
      <c r="E354" s="5" t="s">
        <v>338</v>
      </c>
      <c r="F354" s="6">
        <v>846</v>
      </c>
      <c r="G354" s="6">
        <v>4333</v>
      </c>
      <c r="H354" s="6">
        <v>2318</v>
      </c>
      <c r="I354" s="6">
        <v>2015</v>
      </c>
      <c r="J354" s="17">
        <f t="shared" si="15"/>
        <v>869.28386540120789</v>
      </c>
      <c r="K354" s="6">
        <v>1386</v>
      </c>
      <c r="L354" s="6">
        <v>754</v>
      </c>
      <c r="M354" s="6">
        <v>632</v>
      </c>
      <c r="N354" s="7">
        <f t="shared" si="16"/>
        <v>31.987075928917609</v>
      </c>
      <c r="O354" s="6">
        <v>2561</v>
      </c>
      <c r="P354" s="6">
        <v>1454</v>
      </c>
      <c r="Q354" s="6">
        <v>1107</v>
      </c>
      <c r="R354" s="7">
        <v>67.805136351601803</v>
      </c>
      <c r="S354" s="7">
        <v>72.627372627372637</v>
      </c>
      <c r="T354" s="7">
        <v>62.366197183098592</v>
      </c>
      <c r="U354" s="15">
        <f t="shared" si="17"/>
        <v>2</v>
      </c>
    </row>
    <row r="355" spans="1:21" ht="18.75" customHeight="1">
      <c r="A355" s="16">
        <v>363</v>
      </c>
      <c r="B355" s="3">
        <v>48</v>
      </c>
      <c r="C355" s="4" t="s">
        <v>385</v>
      </c>
      <c r="D355" s="9" t="s">
        <v>441</v>
      </c>
      <c r="E355" s="5" t="s">
        <v>338</v>
      </c>
      <c r="F355" s="6">
        <v>1193</v>
      </c>
      <c r="G355" s="6">
        <v>6466</v>
      </c>
      <c r="H355" s="6">
        <v>3420</v>
      </c>
      <c r="I355" s="6">
        <v>3046</v>
      </c>
      <c r="J355" s="17">
        <f t="shared" si="15"/>
        <v>890.64327485380113</v>
      </c>
      <c r="K355" s="6">
        <v>985</v>
      </c>
      <c r="L355" s="6">
        <v>533</v>
      </c>
      <c r="M355" s="6">
        <v>452</v>
      </c>
      <c r="N355" s="7">
        <f t="shared" si="16"/>
        <v>15.233529229817508</v>
      </c>
      <c r="O355" s="6">
        <v>4169</v>
      </c>
      <c r="P355" s="6">
        <v>2457</v>
      </c>
      <c r="Q355" s="6">
        <v>1712</v>
      </c>
      <c r="R355" s="7">
        <v>73.012259194395796</v>
      </c>
      <c r="S355" s="7">
        <v>82.228915662650607</v>
      </c>
      <c r="T355" s="7">
        <v>62.894930198383534</v>
      </c>
      <c r="U355" s="15">
        <f t="shared" si="17"/>
        <v>2</v>
      </c>
    </row>
    <row r="356" spans="1:21" ht="18.75" customHeight="1">
      <c r="A356" s="16">
        <v>364</v>
      </c>
      <c r="B356" s="3">
        <v>1</v>
      </c>
      <c r="C356" s="4" t="s">
        <v>386</v>
      </c>
      <c r="D356" s="9" t="s">
        <v>441</v>
      </c>
      <c r="E356" s="5" t="s">
        <v>387</v>
      </c>
      <c r="F356" s="6">
        <v>199</v>
      </c>
      <c r="G356" s="6">
        <v>1066</v>
      </c>
      <c r="H356" s="6">
        <v>561</v>
      </c>
      <c r="I356" s="6">
        <v>505</v>
      </c>
      <c r="J356" s="17">
        <f t="shared" si="15"/>
        <v>900.17825311942954</v>
      </c>
      <c r="K356" s="6">
        <v>130</v>
      </c>
      <c r="L356" s="6">
        <v>66</v>
      </c>
      <c r="M356" s="6">
        <v>64</v>
      </c>
      <c r="N356" s="7">
        <f t="shared" si="16"/>
        <v>12.195121951219512</v>
      </c>
      <c r="O356" s="6">
        <v>679</v>
      </c>
      <c r="P356" s="6">
        <v>393</v>
      </c>
      <c r="Q356" s="6">
        <v>286</v>
      </c>
      <c r="R356" s="7">
        <v>73.804347826086953</v>
      </c>
      <c r="S356" s="7">
        <v>81.704781704781709</v>
      </c>
      <c r="T356" s="7">
        <v>65.148063781321184</v>
      </c>
      <c r="U356" s="15">
        <f t="shared" si="17"/>
        <v>1</v>
      </c>
    </row>
    <row r="357" spans="1:21" ht="18.75" customHeight="1">
      <c r="A357" s="16">
        <v>365</v>
      </c>
      <c r="B357" s="3">
        <v>2</v>
      </c>
      <c r="C357" s="4" t="s">
        <v>388</v>
      </c>
      <c r="D357" s="9" t="s">
        <v>441</v>
      </c>
      <c r="E357" s="5" t="s">
        <v>387</v>
      </c>
      <c r="F357" s="6">
        <v>392</v>
      </c>
      <c r="G357" s="6">
        <v>1982</v>
      </c>
      <c r="H357" s="6">
        <v>1061</v>
      </c>
      <c r="I357" s="6">
        <v>921</v>
      </c>
      <c r="J357" s="17">
        <f t="shared" si="15"/>
        <v>868.04901036757781</v>
      </c>
      <c r="K357" s="6">
        <v>637</v>
      </c>
      <c r="L357" s="6">
        <v>334</v>
      </c>
      <c r="M357" s="6">
        <v>303</v>
      </c>
      <c r="N357" s="7">
        <f t="shared" si="16"/>
        <v>32.139253279515643</v>
      </c>
      <c r="O357" s="6">
        <v>1153</v>
      </c>
      <c r="P357" s="6">
        <v>694</v>
      </c>
      <c r="Q357" s="6">
        <v>459</v>
      </c>
      <c r="R357" s="7">
        <v>69.4578313253012</v>
      </c>
      <c r="S357" s="7">
        <v>79.223744292237441</v>
      </c>
      <c r="T357" s="7">
        <v>58.545918367346935</v>
      </c>
      <c r="U357" s="15">
        <f t="shared" si="17"/>
        <v>2</v>
      </c>
    </row>
    <row r="358" spans="1:21" ht="18.75" customHeight="1">
      <c r="A358" s="16">
        <v>366</v>
      </c>
      <c r="B358" s="3">
        <v>3</v>
      </c>
      <c r="C358" s="4" t="s">
        <v>389</v>
      </c>
      <c r="D358" s="9" t="s">
        <v>441</v>
      </c>
      <c r="E358" s="5" t="s">
        <v>387</v>
      </c>
      <c r="F358" s="6">
        <v>73</v>
      </c>
      <c r="G358" s="6">
        <v>436</v>
      </c>
      <c r="H358" s="6">
        <v>221</v>
      </c>
      <c r="I358" s="6">
        <v>215</v>
      </c>
      <c r="J358" s="17">
        <f t="shared" si="15"/>
        <v>972.85067873303171</v>
      </c>
      <c r="K358" s="6">
        <v>105</v>
      </c>
      <c r="L358" s="6">
        <v>53</v>
      </c>
      <c r="M358" s="6">
        <v>52</v>
      </c>
      <c r="N358" s="7">
        <f t="shared" si="16"/>
        <v>24.082568807339449</v>
      </c>
      <c r="O358" s="6">
        <v>278</v>
      </c>
      <c r="P358" s="6">
        <v>150</v>
      </c>
      <c r="Q358" s="6">
        <v>128</v>
      </c>
      <c r="R358" s="7">
        <v>73.936170212765958</v>
      </c>
      <c r="S358" s="7">
        <v>78.94736842105263</v>
      </c>
      <c r="T358" s="7">
        <v>68.817204301075279</v>
      </c>
      <c r="U358" s="15">
        <f t="shared" si="17"/>
        <v>1</v>
      </c>
    </row>
    <row r="359" spans="1:21" ht="18.75" customHeight="1">
      <c r="A359" s="16">
        <v>367</v>
      </c>
      <c r="B359" s="3">
        <v>4</v>
      </c>
      <c r="C359" s="4" t="s">
        <v>390</v>
      </c>
      <c r="D359" s="9" t="s">
        <v>441</v>
      </c>
      <c r="E359" s="5" t="s">
        <v>387</v>
      </c>
      <c r="F359" s="6">
        <v>317</v>
      </c>
      <c r="G359" s="6">
        <v>1670</v>
      </c>
      <c r="H359" s="6">
        <v>852</v>
      </c>
      <c r="I359" s="6">
        <v>818</v>
      </c>
      <c r="J359" s="17">
        <f t="shared" si="15"/>
        <v>960.09389671361498</v>
      </c>
      <c r="K359" s="6">
        <v>403</v>
      </c>
      <c r="L359" s="6">
        <v>206</v>
      </c>
      <c r="M359" s="6">
        <v>197</v>
      </c>
      <c r="N359" s="7">
        <f t="shared" si="16"/>
        <v>24.131736526946106</v>
      </c>
      <c r="O359" s="6">
        <v>1045</v>
      </c>
      <c r="P359" s="6">
        <v>607</v>
      </c>
      <c r="Q359" s="6">
        <v>438</v>
      </c>
      <c r="R359" s="7">
        <v>72.118702553485164</v>
      </c>
      <c r="S359" s="7">
        <v>81.25836680053547</v>
      </c>
      <c r="T359" s="7">
        <v>62.393162393162392</v>
      </c>
      <c r="U359" s="15">
        <f t="shared" si="17"/>
        <v>1</v>
      </c>
    </row>
    <row r="360" spans="1:21" ht="18.75" customHeight="1">
      <c r="A360" s="16">
        <v>368</v>
      </c>
      <c r="B360" s="3">
        <v>5</v>
      </c>
      <c r="C360" s="4" t="s">
        <v>391</v>
      </c>
      <c r="D360" s="9" t="s">
        <v>441</v>
      </c>
      <c r="E360" s="5" t="s">
        <v>387</v>
      </c>
      <c r="F360" s="6">
        <v>9</v>
      </c>
      <c r="G360" s="6">
        <v>19</v>
      </c>
      <c r="H360" s="6">
        <v>14</v>
      </c>
      <c r="I360" s="6">
        <v>5</v>
      </c>
      <c r="J360" s="17">
        <f t="shared" si="15"/>
        <v>357.14285714285717</v>
      </c>
      <c r="K360" s="6">
        <v>0</v>
      </c>
      <c r="L360" s="6">
        <v>0</v>
      </c>
      <c r="M360" s="6">
        <v>0</v>
      </c>
      <c r="N360" s="7">
        <f t="shared" si="16"/>
        <v>0</v>
      </c>
      <c r="O360" s="6">
        <v>9</v>
      </c>
      <c r="P360" s="6">
        <v>7</v>
      </c>
      <c r="Q360" s="6">
        <v>2</v>
      </c>
      <c r="R360" s="7">
        <v>56.25</v>
      </c>
      <c r="S360" s="7">
        <v>58.333333333333336</v>
      </c>
      <c r="T360" s="7">
        <v>50</v>
      </c>
      <c r="U360" s="15">
        <f t="shared" si="17"/>
        <v>0</v>
      </c>
    </row>
    <row r="361" spans="1:21" ht="18.75" customHeight="1">
      <c r="A361" s="16">
        <v>369</v>
      </c>
      <c r="B361" s="3">
        <v>6</v>
      </c>
      <c r="C361" s="4" t="s">
        <v>392</v>
      </c>
      <c r="D361" s="9" t="s">
        <v>441</v>
      </c>
      <c r="E361" s="5" t="s">
        <v>387</v>
      </c>
      <c r="F361" s="6">
        <v>379</v>
      </c>
      <c r="G361" s="6">
        <v>1994</v>
      </c>
      <c r="H361" s="6">
        <v>1037</v>
      </c>
      <c r="I361" s="6">
        <v>957</v>
      </c>
      <c r="J361" s="17">
        <f t="shared" si="15"/>
        <v>922.85438765670199</v>
      </c>
      <c r="K361" s="6">
        <v>273</v>
      </c>
      <c r="L361" s="6">
        <v>143</v>
      </c>
      <c r="M361" s="6">
        <v>130</v>
      </c>
      <c r="N361" s="7">
        <f t="shared" si="16"/>
        <v>13.691073219658978</v>
      </c>
      <c r="O361" s="6">
        <v>1356</v>
      </c>
      <c r="P361" s="6">
        <v>775</v>
      </c>
      <c r="Q361" s="6">
        <v>581</v>
      </c>
      <c r="R361" s="7">
        <v>77.796901893287441</v>
      </c>
      <c r="S361" s="7">
        <v>85.825027685492799</v>
      </c>
      <c r="T361" s="7">
        <v>69.166666666666671</v>
      </c>
      <c r="U361" s="15">
        <f t="shared" si="17"/>
        <v>1</v>
      </c>
    </row>
    <row r="362" spans="1:21" ht="18.75" customHeight="1">
      <c r="A362" s="16">
        <v>370</v>
      </c>
      <c r="B362" s="3">
        <v>7</v>
      </c>
      <c r="C362" s="4" t="s">
        <v>393</v>
      </c>
      <c r="D362" s="9" t="s">
        <v>441</v>
      </c>
      <c r="E362" s="5" t="s">
        <v>387</v>
      </c>
      <c r="F362" s="6">
        <v>363</v>
      </c>
      <c r="G362" s="6">
        <v>2082</v>
      </c>
      <c r="H362" s="6">
        <v>1074</v>
      </c>
      <c r="I362" s="6">
        <v>1008</v>
      </c>
      <c r="J362" s="17">
        <f t="shared" si="15"/>
        <v>938.54748603351959</v>
      </c>
      <c r="K362" s="6">
        <v>205</v>
      </c>
      <c r="L362" s="6">
        <v>109</v>
      </c>
      <c r="M362" s="6">
        <v>96</v>
      </c>
      <c r="N362" s="7">
        <f t="shared" si="16"/>
        <v>9.8463016330451492</v>
      </c>
      <c r="O362" s="6">
        <v>1489</v>
      </c>
      <c r="P362" s="6">
        <v>830</v>
      </c>
      <c r="Q362" s="6">
        <v>659</v>
      </c>
      <c r="R362" s="7">
        <v>81.410606889010381</v>
      </c>
      <c r="S362" s="7">
        <v>88.770053475935825</v>
      </c>
      <c r="T362" s="7">
        <v>73.713646532438474</v>
      </c>
      <c r="U362" s="15">
        <f t="shared" si="17"/>
        <v>1</v>
      </c>
    </row>
    <row r="363" spans="1:21" ht="18.75" customHeight="1">
      <c r="A363" s="16">
        <v>371</v>
      </c>
      <c r="B363" s="3">
        <v>8</v>
      </c>
      <c r="C363" s="4" t="s">
        <v>394</v>
      </c>
      <c r="D363" s="9" t="s">
        <v>441</v>
      </c>
      <c r="E363" s="5" t="s">
        <v>387</v>
      </c>
      <c r="F363" s="6">
        <v>1043</v>
      </c>
      <c r="G363" s="6">
        <v>5370</v>
      </c>
      <c r="H363" s="6">
        <v>2972</v>
      </c>
      <c r="I363" s="6">
        <v>2398</v>
      </c>
      <c r="J363" s="17">
        <f t="shared" si="15"/>
        <v>806.86406460296098</v>
      </c>
      <c r="K363" s="6">
        <v>624</v>
      </c>
      <c r="L363" s="6">
        <v>329</v>
      </c>
      <c r="M363" s="6">
        <v>295</v>
      </c>
      <c r="N363" s="7">
        <f t="shared" si="16"/>
        <v>11.620111731843576</v>
      </c>
      <c r="O363" s="6">
        <v>3353</v>
      </c>
      <c r="P363" s="6">
        <v>1947</v>
      </c>
      <c r="Q363" s="6">
        <v>1406</v>
      </c>
      <c r="R363" s="7">
        <v>71.691255078041479</v>
      </c>
      <c r="S363" s="7">
        <v>75.290023201856144</v>
      </c>
      <c r="T363" s="7">
        <v>67.240554758488756</v>
      </c>
      <c r="U363" s="15">
        <f t="shared" si="17"/>
        <v>2</v>
      </c>
    </row>
    <row r="364" spans="1:21" ht="18.75" customHeight="1">
      <c r="A364" s="16">
        <v>372</v>
      </c>
      <c r="B364" s="3">
        <v>9</v>
      </c>
      <c r="C364" s="4" t="s">
        <v>395</v>
      </c>
      <c r="D364" s="9" t="s">
        <v>441</v>
      </c>
      <c r="E364" s="5" t="s">
        <v>387</v>
      </c>
      <c r="F364" s="6">
        <v>180</v>
      </c>
      <c r="G364" s="6">
        <v>885</v>
      </c>
      <c r="H364" s="6">
        <v>454</v>
      </c>
      <c r="I364" s="6">
        <v>431</v>
      </c>
      <c r="J364" s="17">
        <f t="shared" si="15"/>
        <v>949.33920704845821</v>
      </c>
      <c r="K364" s="6">
        <v>233</v>
      </c>
      <c r="L364" s="6">
        <v>121</v>
      </c>
      <c r="M364" s="6">
        <v>112</v>
      </c>
      <c r="N364" s="7">
        <f t="shared" si="16"/>
        <v>26.327683615819208</v>
      </c>
      <c r="O364" s="6">
        <v>592</v>
      </c>
      <c r="P364" s="6">
        <v>332</v>
      </c>
      <c r="Q364" s="6">
        <v>260</v>
      </c>
      <c r="R364" s="7">
        <v>77.486910994764401</v>
      </c>
      <c r="S364" s="7">
        <v>84.693877551020407</v>
      </c>
      <c r="T364" s="7">
        <v>69.892473118279568</v>
      </c>
      <c r="U364" s="15">
        <f t="shared" si="17"/>
        <v>1</v>
      </c>
    </row>
    <row r="365" spans="1:21" ht="18.75" customHeight="1">
      <c r="A365" s="16">
        <v>373</v>
      </c>
      <c r="B365" s="3">
        <v>10</v>
      </c>
      <c r="C365" s="4" t="s">
        <v>396</v>
      </c>
      <c r="D365" s="9" t="s">
        <v>441</v>
      </c>
      <c r="E365" s="5" t="s">
        <v>387</v>
      </c>
      <c r="F365" s="6">
        <v>338</v>
      </c>
      <c r="G365" s="6">
        <v>1809</v>
      </c>
      <c r="H365" s="6">
        <v>972</v>
      </c>
      <c r="I365" s="6">
        <v>837</v>
      </c>
      <c r="J365" s="17">
        <f t="shared" si="15"/>
        <v>861.1111111111112</v>
      </c>
      <c r="K365" s="6">
        <v>707</v>
      </c>
      <c r="L365" s="6">
        <v>371</v>
      </c>
      <c r="M365" s="6">
        <v>336</v>
      </c>
      <c r="N365" s="7">
        <f t="shared" si="16"/>
        <v>39.082365948037591</v>
      </c>
      <c r="O365" s="6">
        <v>1083</v>
      </c>
      <c r="P365" s="6">
        <v>658</v>
      </c>
      <c r="Q365" s="6">
        <v>425</v>
      </c>
      <c r="R365" s="7">
        <v>69.646302250803856</v>
      </c>
      <c r="S365" s="7">
        <v>77.594339622641513</v>
      </c>
      <c r="T365" s="7">
        <v>60.113154172560115</v>
      </c>
      <c r="U365" s="15">
        <f t="shared" si="17"/>
        <v>2</v>
      </c>
    </row>
    <row r="366" spans="1:21" ht="18.75" customHeight="1">
      <c r="A366" s="16">
        <v>374</v>
      </c>
      <c r="B366" s="3">
        <v>11</v>
      </c>
      <c r="C366" s="4" t="s">
        <v>397</v>
      </c>
      <c r="D366" s="9" t="s">
        <v>441</v>
      </c>
      <c r="E366" s="5" t="s">
        <v>387</v>
      </c>
      <c r="F366" s="6">
        <v>95</v>
      </c>
      <c r="G366" s="6">
        <v>553</v>
      </c>
      <c r="H366" s="6">
        <v>291</v>
      </c>
      <c r="I366" s="6">
        <v>262</v>
      </c>
      <c r="J366" s="17">
        <f t="shared" si="15"/>
        <v>900.34364261168389</v>
      </c>
      <c r="K366" s="6">
        <v>52</v>
      </c>
      <c r="L366" s="6">
        <v>26</v>
      </c>
      <c r="M366" s="6">
        <v>26</v>
      </c>
      <c r="N366" s="7">
        <f t="shared" si="16"/>
        <v>9.4032549728752262</v>
      </c>
      <c r="O366" s="6">
        <v>360</v>
      </c>
      <c r="P366" s="6">
        <v>207</v>
      </c>
      <c r="Q366" s="6">
        <v>153</v>
      </c>
      <c r="R366" s="7">
        <v>74.074074074074076</v>
      </c>
      <c r="S366" s="7">
        <v>81.496062992125985</v>
      </c>
      <c r="T366" s="7">
        <v>65.948275862068968</v>
      </c>
      <c r="U366" s="15">
        <f t="shared" si="17"/>
        <v>1</v>
      </c>
    </row>
    <row r="367" spans="1:21" ht="18.75" customHeight="1">
      <c r="A367" s="16">
        <v>375</v>
      </c>
      <c r="B367" s="3">
        <v>12</v>
      </c>
      <c r="C367" s="4" t="s">
        <v>398</v>
      </c>
      <c r="D367" s="9" t="s">
        <v>441</v>
      </c>
      <c r="E367" s="5" t="s">
        <v>387</v>
      </c>
      <c r="F367" s="6">
        <v>224</v>
      </c>
      <c r="G367" s="6">
        <v>1086</v>
      </c>
      <c r="H367" s="6">
        <v>558</v>
      </c>
      <c r="I367" s="6">
        <v>528</v>
      </c>
      <c r="J367" s="17">
        <f t="shared" si="15"/>
        <v>946.23655913978496</v>
      </c>
      <c r="K367" s="6">
        <v>795</v>
      </c>
      <c r="L367" s="6">
        <v>402</v>
      </c>
      <c r="M367" s="6">
        <v>393</v>
      </c>
      <c r="N367" s="7">
        <f t="shared" si="16"/>
        <v>73.204419889502759</v>
      </c>
      <c r="O367" s="6">
        <v>688</v>
      </c>
      <c r="P367" s="6">
        <v>394</v>
      </c>
      <c r="Q367" s="6">
        <v>294</v>
      </c>
      <c r="R367" s="7">
        <v>73.978494623655905</v>
      </c>
      <c r="S367" s="7">
        <v>82.426778242677827</v>
      </c>
      <c r="T367" s="7">
        <v>65.044247787610615</v>
      </c>
      <c r="U367" s="15">
        <f t="shared" si="17"/>
        <v>1</v>
      </c>
    </row>
    <row r="368" spans="1:21" ht="18.75" customHeight="1">
      <c r="A368" s="16">
        <v>376</v>
      </c>
      <c r="B368" s="3">
        <v>13</v>
      </c>
      <c r="C368" s="4" t="s">
        <v>399</v>
      </c>
      <c r="D368" s="9" t="s">
        <v>441</v>
      </c>
      <c r="E368" s="5" t="s">
        <v>387</v>
      </c>
      <c r="F368" s="6">
        <v>232</v>
      </c>
      <c r="G368" s="6">
        <v>1192</v>
      </c>
      <c r="H368" s="6">
        <v>667</v>
      </c>
      <c r="I368" s="6">
        <v>525</v>
      </c>
      <c r="J368" s="17">
        <f t="shared" si="15"/>
        <v>787.10644677661173</v>
      </c>
      <c r="K368" s="6">
        <v>530</v>
      </c>
      <c r="L368" s="6">
        <v>299</v>
      </c>
      <c r="M368" s="6">
        <v>231</v>
      </c>
      <c r="N368" s="7">
        <f t="shared" si="16"/>
        <v>44.463087248322147</v>
      </c>
      <c r="O368" s="6">
        <v>819</v>
      </c>
      <c r="P368" s="6">
        <v>513</v>
      </c>
      <c r="Q368" s="6">
        <v>306</v>
      </c>
      <c r="R368" s="7">
        <v>77.264150943396231</v>
      </c>
      <c r="S368" s="7">
        <v>86.802030456852791</v>
      </c>
      <c r="T368" s="7">
        <v>65.245202558635398</v>
      </c>
      <c r="U368" s="15">
        <f t="shared" si="17"/>
        <v>3</v>
      </c>
    </row>
    <row r="369" spans="1:21" ht="18.75" customHeight="1">
      <c r="A369" s="16">
        <v>377</v>
      </c>
      <c r="B369" s="3">
        <v>14</v>
      </c>
      <c r="C369" s="4" t="s">
        <v>400</v>
      </c>
      <c r="D369" s="9" t="s">
        <v>441</v>
      </c>
      <c r="E369" s="5" t="s">
        <v>387</v>
      </c>
      <c r="F369" s="6">
        <v>361</v>
      </c>
      <c r="G369" s="6">
        <v>1846</v>
      </c>
      <c r="H369" s="6">
        <v>969</v>
      </c>
      <c r="I369" s="6">
        <v>877</v>
      </c>
      <c r="J369" s="17">
        <f t="shared" si="15"/>
        <v>905.05675954592368</v>
      </c>
      <c r="K369" s="6">
        <v>323</v>
      </c>
      <c r="L369" s="6">
        <v>170</v>
      </c>
      <c r="M369" s="6">
        <v>153</v>
      </c>
      <c r="N369" s="7">
        <f t="shared" si="16"/>
        <v>17.497291440953415</v>
      </c>
      <c r="O369" s="6">
        <v>1241</v>
      </c>
      <c r="P369" s="6">
        <v>725</v>
      </c>
      <c r="Q369" s="6">
        <v>516</v>
      </c>
      <c r="R369" s="7">
        <v>76.937383756974583</v>
      </c>
      <c r="S369" s="7">
        <v>84.994138335287218</v>
      </c>
      <c r="T369" s="7">
        <v>67.89473684210526</v>
      </c>
      <c r="U369" s="15">
        <f t="shared" si="17"/>
        <v>1</v>
      </c>
    </row>
    <row r="370" spans="1:21" ht="18.75" customHeight="1">
      <c r="A370" s="16">
        <v>378</v>
      </c>
      <c r="B370" s="3">
        <v>15</v>
      </c>
      <c r="C370" s="4" t="s">
        <v>401</v>
      </c>
      <c r="D370" s="9" t="s">
        <v>441</v>
      </c>
      <c r="E370" s="5" t="s">
        <v>387</v>
      </c>
      <c r="F370" s="6">
        <v>267</v>
      </c>
      <c r="G370" s="6">
        <v>1322</v>
      </c>
      <c r="H370" s="6">
        <v>688</v>
      </c>
      <c r="I370" s="6">
        <v>634</v>
      </c>
      <c r="J370" s="17">
        <f t="shared" si="15"/>
        <v>921.51162790697674</v>
      </c>
      <c r="K370" s="6">
        <v>434</v>
      </c>
      <c r="L370" s="6">
        <v>226</v>
      </c>
      <c r="M370" s="6">
        <v>208</v>
      </c>
      <c r="N370" s="7">
        <f t="shared" si="16"/>
        <v>32.829046898638424</v>
      </c>
      <c r="O370" s="6">
        <v>915</v>
      </c>
      <c r="P370" s="6">
        <v>502</v>
      </c>
      <c r="Q370" s="6">
        <v>413</v>
      </c>
      <c r="R370" s="7">
        <v>78.879310344827587</v>
      </c>
      <c r="S370" s="7">
        <v>84.94077834179356</v>
      </c>
      <c r="T370" s="7">
        <v>72.583479789103691</v>
      </c>
      <c r="U370" s="15">
        <f t="shared" si="17"/>
        <v>1</v>
      </c>
    </row>
    <row r="371" spans="1:21" ht="18.75" customHeight="1">
      <c r="A371" s="16">
        <v>379</v>
      </c>
      <c r="B371" s="3">
        <v>16</v>
      </c>
      <c r="C371" s="4" t="s">
        <v>402</v>
      </c>
      <c r="D371" s="9" t="s">
        <v>441</v>
      </c>
      <c r="E371" s="5" t="s">
        <v>387</v>
      </c>
      <c r="F371" s="6">
        <v>415</v>
      </c>
      <c r="G371" s="6">
        <v>2373</v>
      </c>
      <c r="H371" s="6">
        <v>1239</v>
      </c>
      <c r="I371" s="6">
        <v>1134</v>
      </c>
      <c r="J371" s="17">
        <f t="shared" si="15"/>
        <v>915.25423728813564</v>
      </c>
      <c r="K371" s="6">
        <v>834</v>
      </c>
      <c r="L371" s="6">
        <v>426</v>
      </c>
      <c r="M371" s="6">
        <v>408</v>
      </c>
      <c r="N371" s="7">
        <f t="shared" si="16"/>
        <v>35.145385587863466</v>
      </c>
      <c r="O371" s="6">
        <v>1400</v>
      </c>
      <c r="P371" s="6">
        <v>812</v>
      </c>
      <c r="Q371" s="6">
        <v>588</v>
      </c>
      <c r="R371" s="7">
        <v>70.671378091872796</v>
      </c>
      <c r="S371" s="7">
        <v>79.452054794520549</v>
      </c>
      <c r="T371" s="7">
        <v>61.313868613138688</v>
      </c>
      <c r="U371" s="15">
        <f t="shared" si="17"/>
        <v>1</v>
      </c>
    </row>
    <row r="372" spans="1:21" ht="18.75" customHeight="1">
      <c r="A372" s="16">
        <v>380</v>
      </c>
      <c r="B372" s="3">
        <v>17</v>
      </c>
      <c r="C372" s="4" t="s">
        <v>403</v>
      </c>
      <c r="D372" s="9" t="s">
        <v>441</v>
      </c>
      <c r="E372" s="5" t="s">
        <v>387</v>
      </c>
      <c r="F372" s="6">
        <v>186</v>
      </c>
      <c r="G372" s="6">
        <v>919</v>
      </c>
      <c r="H372" s="6">
        <v>492</v>
      </c>
      <c r="I372" s="6">
        <v>427</v>
      </c>
      <c r="J372" s="17">
        <f t="shared" si="15"/>
        <v>867.88617886178861</v>
      </c>
      <c r="K372" s="6">
        <v>145</v>
      </c>
      <c r="L372" s="6">
        <v>84</v>
      </c>
      <c r="M372" s="6">
        <v>61</v>
      </c>
      <c r="N372" s="7">
        <f t="shared" si="16"/>
        <v>15.778019586507073</v>
      </c>
      <c r="O372" s="6">
        <v>624</v>
      </c>
      <c r="P372" s="6">
        <v>377</v>
      </c>
      <c r="Q372" s="6">
        <v>247</v>
      </c>
      <c r="R372" s="7">
        <v>76.376988984088129</v>
      </c>
      <c r="S372" s="7">
        <v>86.270022883295198</v>
      </c>
      <c r="T372" s="7">
        <v>65</v>
      </c>
      <c r="U372" s="15">
        <f t="shared" si="17"/>
        <v>2</v>
      </c>
    </row>
    <row r="373" spans="1:21" ht="18.75" customHeight="1">
      <c r="A373" s="16">
        <v>381</v>
      </c>
      <c r="B373" s="3">
        <v>18</v>
      </c>
      <c r="C373" s="4" t="s">
        <v>404</v>
      </c>
      <c r="D373" s="9" t="s">
        <v>441</v>
      </c>
      <c r="E373" s="5" t="s">
        <v>387</v>
      </c>
      <c r="F373" s="6">
        <v>203</v>
      </c>
      <c r="G373" s="6">
        <v>1044</v>
      </c>
      <c r="H373" s="6">
        <v>532</v>
      </c>
      <c r="I373" s="6">
        <v>512</v>
      </c>
      <c r="J373" s="17">
        <f t="shared" si="15"/>
        <v>962.40601503759399</v>
      </c>
      <c r="K373" s="6">
        <v>342</v>
      </c>
      <c r="L373" s="6">
        <v>179</v>
      </c>
      <c r="M373" s="6">
        <v>163</v>
      </c>
      <c r="N373" s="7">
        <f t="shared" si="16"/>
        <v>32.758620689655174</v>
      </c>
      <c r="O373" s="6">
        <v>683</v>
      </c>
      <c r="P373" s="6">
        <v>381</v>
      </c>
      <c r="Q373" s="6">
        <v>302</v>
      </c>
      <c r="R373" s="7">
        <v>74.400871459694983</v>
      </c>
      <c r="S373" s="7">
        <v>81.759656652360519</v>
      </c>
      <c r="T373" s="7">
        <v>66.814159292035399</v>
      </c>
      <c r="U373" s="15">
        <f t="shared" si="17"/>
        <v>1</v>
      </c>
    </row>
    <row r="374" spans="1:21" ht="18.75" customHeight="1">
      <c r="A374" s="16">
        <v>382</v>
      </c>
      <c r="B374" s="3">
        <v>19</v>
      </c>
      <c r="C374" s="4" t="s">
        <v>405</v>
      </c>
      <c r="D374" s="9" t="s">
        <v>441</v>
      </c>
      <c r="E374" s="5" t="s">
        <v>387</v>
      </c>
      <c r="F374" s="6">
        <v>191</v>
      </c>
      <c r="G374" s="6">
        <v>924</v>
      </c>
      <c r="H374" s="6">
        <v>496</v>
      </c>
      <c r="I374" s="6">
        <v>428</v>
      </c>
      <c r="J374" s="17">
        <f t="shared" si="15"/>
        <v>862.90322580645159</v>
      </c>
      <c r="K374" s="6">
        <v>416</v>
      </c>
      <c r="L374" s="6">
        <v>223</v>
      </c>
      <c r="M374" s="6">
        <v>193</v>
      </c>
      <c r="N374" s="7">
        <f t="shared" si="16"/>
        <v>45.021645021645021</v>
      </c>
      <c r="O374" s="6">
        <v>639</v>
      </c>
      <c r="P374" s="6">
        <v>364</v>
      </c>
      <c r="Q374" s="6">
        <v>275</v>
      </c>
      <c r="R374" s="7">
        <v>78.986402966625462</v>
      </c>
      <c r="S374" s="7">
        <v>84.454756380510446</v>
      </c>
      <c r="T374" s="7">
        <v>72.75132275132276</v>
      </c>
      <c r="U374" s="15">
        <f t="shared" si="17"/>
        <v>2</v>
      </c>
    </row>
    <row r="375" spans="1:21" ht="18.75" customHeight="1">
      <c r="A375" s="16">
        <v>383</v>
      </c>
      <c r="B375" s="3">
        <v>20</v>
      </c>
      <c r="C375" s="4" t="s">
        <v>406</v>
      </c>
      <c r="D375" s="9" t="s">
        <v>441</v>
      </c>
      <c r="E375" s="5" t="s">
        <v>387</v>
      </c>
      <c r="F375" s="6">
        <v>280</v>
      </c>
      <c r="G375" s="6">
        <v>1334</v>
      </c>
      <c r="H375" s="6">
        <v>682</v>
      </c>
      <c r="I375" s="6">
        <v>652</v>
      </c>
      <c r="J375" s="17">
        <f t="shared" si="15"/>
        <v>956.01173020527858</v>
      </c>
      <c r="K375" s="6">
        <v>555</v>
      </c>
      <c r="L375" s="6">
        <v>279</v>
      </c>
      <c r="M375" s="6">
        <v>276</v>
      </c>
      <c r="N375" s="7">
        <f t="shared" si="16"/>
        <v>41.604197901049474</v>
      </c>
      <c r="O375" s="6">
        <v>815</v>
      </c>
      <c r="P375" s="6">
        <v>469</v>
      </c>
      <c r="Q375" s="6">
        <v>346</v>
      </c>
      <c r="R375" s="7">
        <v>69.957081545064383</v>
      </c>
      <c r="S375" s="7">
        <v>79.357021996615913</v>
      </c>
      <c r="T375" s="7">
        <v>60.278745644599304</v>
      </c>
      <c r="U375" s="15">
        <f t="shared" si="17"/>
        <v>1</v>
      </c>
    </row>
    <row r="376" spans="1:21" ht="18.75" customHeight="1">
      <c r="A376" s="16">
        <v>384</v>
      </c>
      <c r="B376" s="3">
        <v>21</v>
      </c>
      <c r="C376" s="4" t="s">
        <v>407</v>
      </c>
      <c r="D376" s="9" t="s">
        <v>441</v>
      </c>
      <c r="E376" s="5" t="s">
        <v>387</v>
      </c>
      <c r="F376" s="6">
        <v>377</v>
      </c>
      <c r="G376" s="6">
        <v>1988</v>
      </c>
      <c r="H376" s="6">
        <v>1082</v>
      </c>
      <c r="I376" s="6">
        <v>906</v>
      </c>
      <c r="J376" s="17">
        <f t="shared" si="15"/>
        <v>837.33826247689467</v>
      </c>
      <c r="K376" s="6">
        <v>704</v>
      </c>
      <c r="L376" s="6">
        <v>350</v>
      </c>
      <c r="M376" s="6">
        <v>354</v>
      </c>
      <c r="N376" s="7">
        <f t="shared" si="16"/>
        <v>35.412474849094565</v>
      </c>
      <c r="O376" s="6">
        <v>1414</v>
      </c>
      <c r="P376" s="6">
        <v>862</v>
      </c>
      <c r="Q376" s="6">
        <v>552</v>
      </c>
      <c r="R376" s="7">
        <v>79.887005649717509</v>
      </c>
      <c r="S376" s="7">
        <v>89.419087136929463</v>
      </c>
      <c r="T376" s="7">
        <v>68.486352357320101</v>
      </c>
      <c r="U376" s="15">
        <f t="shared" si="17"/>
        <v>2</v>
      </c>
    </row>
    <row r="377" spans="1:21" ht="18.75" customHeight="1">
      <c r="A377" s="16">
        <v>385</v>
      </c>
      <c r="B377" s="3">
        <v>22</v>
      </c>
      <c r="C377" s="4" t="s">
        <v>408</v>
      </c>
      <c r="D377" s="9" t="s">
        <v>441</v>
      </c>
      <c r="E377" s="5" t="s">
        <v>387</v>
      </c>
      <c r="F377" s="6">
        <v>205</v>
      </c>
      <c r="G377" s="6">
        <v>1008</v>
      </c>
      <c r="H377" s="6">
        <v>531</v>
      </c>
      <c r="I377" s="6">
        <v>477</v>
      </c>
      <c r="J377" s="17">
        <f t="shared" si="15"/>
        <v>898.30508474576277</v>
      </c>
      <c r="K377" s="6">
        <v>414</v>
      </c>
      <c r="L377" s="6">
        <v>217</v>
      </c>
      <c r="M377" s="6">
        <v>197</v>
      </c>
      <c r="N377" s="7">
        <f t="shared" si="16"/>
        <v>41.071428571428569</v>
      </c>
      <c r="O377" s="6">
        <v>676</v>
      </c>
      <c r="P377" s="6">
        <v>385</v>
      </c>
      <c r="Q377" s="6">
        <v>291</v>
      </c>
      <c r="R377" s="7">
        <v>75.362318840579718</v>
      </c>
      <c r="S377" s="7">
        <v>81.914893617021278</v>
      </c>
      <c r="T377" s="7">
        <v>68.149882903981265</v>
      </c>
      <c r="U377" s="15">
        <f t="shared" si="17"/>
        <v>2</v>
      </c>
    </row>
    <row r="378" spans="1:21" ht="18.75" customHeight="1">
      <c r="A378" s="16">
        <v>386</v>
      </c>
      <c r="B378" s="3">
        <v>23</v>
      </c>
      <c r="C378" s="4" t="s">
        <v>409</v>
      </c>
      <c r="D378" s="9" t="s">
        <v>441</v>
      </c>
      <c r="E378" s="5" t="s">
        <v>387</v>
      </c>
      <c r="F378" s="6">
        <v>469</v>
      </c>
      <c r="G378" s="6">
        <v>2720</v>
      </c>
      <c r="H378" s="6">
        <v>1441</v>
      </c>
      <c r="I378" s="6">
        <v>1279</v>
      </c>
      <c r="J378" s="17">
        <f t="shared" si="15"/>
        <v>887.57807078417761</v>
      </c>
      <c r="K378" s="6">
        <v>493</v>
      </c>
      <c r="L378" s="6">
        <v>267</v>
      </c>
      <c r="M378" s="6">
        <v>226</v>
      </c>
      <c r="N378" s="7">
        <f t="shared" si="16"/>
        <v>18.125</v>
      </c>
      <c r="O378" s="6">
        <v>1896</v>
      </c>
      <c r="P378" s="6">
        <v>1073</v>
      </c>
      <c r="Q378" s="6">
        <v>823</v>
      </c>
      <c r="R378" s="7">
        <v>79.865206402695875</v>
      </c>
      <c r="S378" s="7">
        <v>86.323411102172159</v>
      </c>
      <c r="T378" s="7">
        <v>72.767462422634836</v>
      </c>
      <c r="U378" s="15">
        <f t="shared" si="17"/>
        <v>2</v>
      </c>
    </row>
    <row r="379" spans="1:21" ht="18.75" customHeight="1">
      <c r="A379" s="16">
        <v>387</v>
      </c>
      <c r="B379" s="3">
        <v>24</v>
      </c>
      <c r="C379" s="4" t="s">
        <v>410</v>
      </c>
      <c r="D379" s="9" t="s">
        <v>441</v>
      </c>
      <c r="E379" s="5" t="s">
        <v>387</v>
      </c>
      <c r="F379" s="6">
        <v>185</v>
      </c>
      <c r="G379" s="6">
        <v>1010</v>
      </c>
      <c r="H379" s="6">
        <v>532</v>
      </c>
      <c r="I379" s="6">
        <v>478</v>
      </c>
      <c r="J379" s="17">
        <f t="shared" si="15"/>
        <v>898.49624060150381</v>
      </c>
      <c r="K379" s="6">
        <v>85</v>
      </c>
      <c r="L379" s="6">
        <v>42</v>
      </c>
      <c r="M379" s="6">
        <v>43</v>
      </c>
      <c r="N379" s="7">
        <f t="shared" si="16"/>
        <v>8.4158415841584162</v>
      </c>
      <c r="O379" s="6">
        <v>658</v>
      </c>
      <c r="P379" s="6">
        <v>380</v>
      </c>
      <c r="Q379" s="6">
        <v>278</v>
      </c>
      <c r="R379" s="7">
        <v>73.932584269662925</v>
      </c>
      <c r="S379" s="7">
        <v>82.251082251082252</v>
      </c>
      <c r="T379" s="7">
        <v>64.953271028037392</v>
      </c>
      <c r="U379" s="15">
        <f t="shared" si="17"/>
        <v>2</v>
      </c>
    </row>
    <row r="380" spans="1:21" ht="18.75" customHeight="1">
      <c r="A380" s="16">
        <v>388</v>
      </c>
      <c r="B380" s="3">
        <v>25</v>
      </c>
      <c r="C380" s="4" t="s">
        <v>411</v>
      </c>
      <c r="D380" s="9" t="s">
        <v>441</v>
      </c>
      <c r="E380" s="5" t="s">
        <v>387</v>
      </c>
      <c r="F380" s="6">
        <v>302</v>
      </c>
      <c r="G380" s="6">
        <v>1749</v>
      </c>
      <c r="H380" s="6">
        <v>931</v>
      </c>
      <c r="I380" s="6">
        <v>818</v>
      </c>
      <c r="J380" s="17">
        <f t="shared" si="15"/>
        <v>878.62513426423209</v>
      </c>
      <c r="K380" s="6">
        <v>431</v>
      </c>
      <c r="L380" s="6">
        <v>226</v>
      </c>
      <c r="M380" s="6">
        <v>205</v>
      </c>
      <c r="N380" s="7">
        <f t="shared" si="16"/>
        <v>24.642652944539737</v>
      </c>
      <c r="O380" s="6">
        <v>1211</v>
      </c>
      <c r="P380" s="6">
        <v>702</v>
      </c>
      <c r="Q380" s="6">
        <v>509</v>
      </c>
      <c r="R380" s="7">
        <v>77.232142857142861</v>
      </c>
      <c r="S380" s="7">
        <v>84.27370948379351</v>
      </c>
      <c r="T380" s="7">
        <v>69.251700680272108</v>
      </c>
      <c r="U380" s="15">
        <f t="shared" si="17"/>
        <v>2</v>
      </c>
    </row>
    <row r="381" spans="1:21" ht="18.75" customHeight="1">
      <c r="A381" s="16">
        <v>389</v>
      </c>
      <c r="B381" s="3">
        <v>26</v>
      </c>
      <c r="C381" s="4" t="s">
        <v>412</v>
      </c>
      <c r="D381" s="9" t="s">
        <v>441</v>
      </c>
      <c r="E381" s="5" t="s">
        <v>387</v>
      </c>
      <c r="F381" s="6">
        <v>494</v>
      </c>
      <c r="G381" s="6">
        <v>2370</v>
      </c>
      <c r="H381" s="6">
        <v>1294</v>
      </c>
      <c r="I381" s="6">
        <v>1076</v>
      </c>
      <c r="J381" s="17">
        <f t="shared" si="15"/>
        <v>831.53013910355492</v>
      </c>
      <c r="K381" s="6">
        <v>383</v>
      </c>
      <c r="L381" s="6">
        <v>214</v>
      </c>
      <c r="M381" s="6">
        <v>169</v>
      </c>
      <c r="N381" s="7">
        <f t="shared" si="16"/>
        <v>16.160337552742615</v>
      </c>
      <c r="O381" s="6">
        <v>1492</v>
      </c>
      <c r="P381" s="6">
        <v>891</v>
      </c>
      <c r="Q381" s="6">
        <v>601</v>
      </c>
      <c r="R381" s="7">
        <v>71.251193887297035</v>
      </c>
      <c r="S381" s="7">
        <v>77.748691099476446</v>
      </c>
      <c r="T381" s="7">
        <v>63.396624472573833</v>
      </c>
      <c r="U381" s="15">
        <f t="shared" si="17"/>
        <v>2</v>
      </c>
    </row>
    <row r="382" spans="1:21" ht="18.75" customHeight="1">
      <c r="A382" s="16">
        <v>390</v>
      </c>
      <c r="B382" s="3">
        <v>27</v>
      </c>
      <c r="C382" s="4" t="s">
        <v>413</v>
      </c>
      <c r="D382" s="9" t="s">
        <v>441</v>
      </c>
      <c r="E382" s="5" t="s">
        <v>387</v>
      </c>
      <c r="F382" s="6">
        <v>159</v>
      </c>
      <c r="G382" s="6">
        <v>787</v>
      </c>
      <c r="H382" s="6">
        <v>438</v>
      </c>
      <c r="I382" s="6">
        <v>349</v>
      </c>
      <c r="J382" s="17">
        <f t="shared" si="15"/>
        <v>796.80365296803654</v>
      </c>
      <c r="K382" s="6">
        <v>312</v>
      </c>
      <c r="L382" s="6">
        <v>170</v>
      </c>
      <c r="M382" s="6">
        <v>142</v>
      </c>
      <c r="N382" s="7">
        <f t="shared" si="16"/>
        <v>39.644218551461243</v>
      </c>
      <c r="O382" s="6">
        <v>411</v>
      </c>
      <c r="P382" s="6">
        <v>252</v>
      </c>
      <c r="Q382" s="6">
        <v>159</v>
      </c>
      <c r="R382" s="7">
        <v>63.328197226502311</v>
      </c>
      <c r="S382" s="7">
        <v>70.19498607242339</v>
      </c>
      <c r="T382" s="7">
        <v>54.827586206896548</v>
      </c>
      <c r="U382" s="15">
        <f t="shared" si="17"/>
        <v>3</v>
      </c>
    </row>
    <row r="383" spans="1:21" ht="18.75" customHeight="1">
      <c r="A383" s="16">
        <v>391</v>
      </c>
      <c r="B383" s="3">
        <v>28</v>
      </c>
      <c r="C383" s="4" t="s">
        <v>414</v>
      </c>
      <c r="D383" s="9" t="s">
        <v>441</v>
      </c>
      <c r="E383" s="5" t="s">
        <v>387</v>
      </c>
      <c r="F383" s="6">
        <v>687</v>
      </c>
      <c r="G383" s="6">
        <v>3536</v>
      </c>
      <c r="H383" s="6">
        <v>1869</v>
      </c>
      <c r="I383" s="6">
        <v>1667</v>
      </c>
      <c r="J383" s="17">
        <f t="shared" si="15"/>
        <v>891.92081326912785</v>
      </c>
      <c r="K383" s="6">
        <v>393</v>
      </c>
      <c r="L383" s="6">
        <v>207</v>
      </c>
      <c r="M383" s="6">
        <v>186</v>
      </c>
      <c r="N383" s="7">
        <f t="shared" si="16"/>
        <v>11.114253393665157</v>
      </c>
      <c r="O383" s="6">
        <v>2610</v>
      </c>
      <c r="P383" s="6">
        <v>1467</v>
      </c>
      <c r="Q383" s="6">
        <v>1143</v>
      </c>
      <c r="R383" s="7">
        <v>83.627042614546625</v>
      </c>
      <c r="S383" s="7">
        <v>90.110565110565105</v>
      </c>
      <c r="T383" s="7">
        <v>76.557267247153376</v>
      </c>
      <c r="U383" s="15">
        <f t="shared" si="17"/>
        <v>2</v>
      </c>
    </row>
    <row r="384" spans="1:21" ht="18.75" customHeight="1">
      <c r="A384" s="16">
        <v>392</v>
      </c>
      <c r="B384" s="3">
        <v>29</v>
      </c>
      <c r="C384" s="4" t="s">
        <v>415</v>
      </c>
      <c r="D384" s="9" t="s">
        <v>441</v>
      </c>
      <c r="E384" s="5" t="s">
        <v>387</v>
      </c>
      <c r="F384" s="6">
        <v>177</v>
      </c>
      <c r="G384" s="6">
        <v>789</v>
      </c>
      <c r="H384" s="6">
        <v>401</v>
      </c>
      <c r="I384" s="6">
        <v>388</v>
      </c>
      <c r="J384" s="17">
        <f t="shared" si="15"/>
        <v>967.58104738154611</v>
      </c>
      <c r="K384" s="6">
        <v>512</v>
      </c>
      <c r="L384" s="6">
        <v>267</v>
      </c>
      <c r="M384" s="6">
        <v>245</v>
      </c>
      <c r="N384" s="7">
        <f t="shared" si="16"/>
        <v>64.892268694550054</v>
      </c>
      <c r="O384" s="6">
        <v>475</v>
      </c>
      <c r="P384" s="6">
        <v>272</v>
      </c>
      <c r="Q384" s="6">
        <v>203</v>
      </c>
      <c r="R384" s="7">
        <v>72.18844984802432</v>
      </c>
      <c r="S384" s="7">
        <v>80.712166172106819</v>
      </c>
      <c r="T384" s="7">
        <v>63.239875389408098</v>
      </c>
      <c r="U384" s="15">
        <f t="shared" si="17"/>
        <v>1</v>
      </c>
    </row>
    <row r="385" spans="1:21" ht="18.75" customHeight="1">
      <c r="A385" s="16">
        <v>393</v>
      </c>
      <c r="B385" s="3">
        <v>30</v>
      </c>
      <c r="C385" s="4" t="s">
        <v>416</v>
      </c>
      <c r="D385" s="9" t="s">
        <v>441</v>
      </c>
      <c r="E385" s="5" t="s">
        <v>387</v>
      </c>
      <c r="F385" s="6">
        <v>222</v>
      </c>
      <c r="G385" s="6">
        <v>1121</v>
      </c>
      <c r="H385" s="6">
        <v>569</v>
      </c>
      <c r="I385" s="6">
        <v>552</v>
      </c>
      <c r="J385" s="17">
        <f t="shared" si="15"/>
        <v>970.12302284710017</v>
      </c>
      <c r="K385" s="6">
        <v>171</v>
      </c>
      <c r="L385" s="6">
        <v>85</v>
      </c>
      <c r="M385" s="6">
        <v>86</v>
      </c>
      <c r="N385" s="7">
        <f t="shared" si="16"/>
        <v>15.254237288135593</v>
      </c>
      <c r="O385" s="6">
        <v>712</v>
      </c>
      <c r="P385" s="6">
        <v>378</v>
      </c>
      <c r="Q385" s="6">
        <v>334</v>
      </c>
      <c r="R385" s="7">
        <v>73.175745118191159</v>
      </c>
      <c r="S385" s="7">
        <v>78.914405010438415</v>
      </c>
      <c r="T385" s="7">
        <v>67.611336032388664</v>
      </c>
      <c r="U385" s="15">
        <f t="shared" si="17"/>
        <v>1</v>
      </c>
    </row>
    <row r="386" spans="1:21" ht="18.75" customHeight="1">
      <c r="A386" s="16">
        <v>394</v>
      </c>
      <c r="B386" s="3">
        <v>31</v>
      </c>
      <c r="C386" s="4" t="s">
        <v>417</v>
      </c>
      <c r="D386" s="9" t="s">
        <v>441</v>
      </c>
      <c r="E386" s="5" t="s">
        <v>387</v>
      </c>
      <c r="F386" s="6">
        <v>1449</v>
      </c>
      <c r="G386" s="6">
        <v>7630</v>
      </c>
      <c r="H386" s="6">
        <v>4003</v>
      </c>
      <c r="I386" s="6">
        <v>3627</v>
      </c>
      <c r="J386" s="17">
        <f t="shared" si="15"/>
        <v>906.07044716462644</v>
      </c>
      <c r="K386" s="6">
        <v>1882</v>
      </c>
      <c r="L386" s="6">
        <v>993</v>
      </c>
      <c r="M386" s="6">
        <v>889</v>
      </c>
      <c r="N386" s="7">
        <f t="shared" ref="N386:N416" si="18">K386/G386*100</f>
        <v>24.665792922673656</v>
      </c>
      <c r="O386" s="6">
        <v>3863</v>
      </c>
      <c r="P386" s="6">
        <v>2263</v>
      </c>
      <c r="Q386" s="6">
        <v>1600</v>
      </c>
      <c r="R386" s="7">
        <v>60.387681725808974</v>
      </c>
      <c r="S386" s="7">
        <v>67.856071964018</v>
      </c>
      <c r="T386" s="7">
        <v>52.253429131286744</v>
      </c>
      <c r="U386" s="15">
        <f t="shared" si="17"/>
        <v>1</v>
      </c>
    </row>
    <row r="387" spans="1:21" ht="18.75" customHeight="1">
      <c r="A387" s="16">
        <v>395</v>
      </c>
      <c r="B387" s="3">
        <v>32</v>
      </c>
      <c r="C387" s="4" t="s">
        <v>418</v>
      </c>
      <c r="D387" s="9" t="s">
        <v>441</v>
      </c>
      <c r="E387" s="5" t="s">
        <v>387</v>
      </c>
      <c r="F387" s="6">
        <v>295</v>
      </c>
      <c r="G387" s="6">
        <v>1666</v>
      </c>
      <c r="H387" s="6">
        <v>872</v>
      </c>
      <c r="I387" s="6">
        <v>794</v>
      </c>
      <c r="J387" s="17">
        <f t="shared" ref="J387:J416" si="19">I387/H387*1000</f>
        <v>910.55045871559639</v>
      </c>
      <c r="K387" s="6">
        <v>272</v>
      </c>
      <c r="L387" s="6">
        <v>139</v>
      </c>
      <c r="M387" s="6">
        <v>133</v>
      </c>
      <c r="N387" s="7">
        <f t="shared" si="18"/>
        <v>16.326530612244898</v>
      </c>
      <c r="O387" s="6">
        <v>1076</v>
      </c>
      <c r="P387" s="6">
        <v>640</v>
      </c>
      <c r="Q387" s="6">
        <v>436</v>
      </c>
      <c r="R387" s="7">
        <v>73.497267759562845</v>
      </c>
      <c r="S387" s="7">
        <v>83.769633507853399</v>
      </c>
      <c r="T387" s="7">
        <v>62.285714285714292</v>
      </c>
      <c r="U387" s="15">
        <f t="shared" ref="U387:U416" si="20">IF($J387&gt;900,1,IF($J387&gt;800,2,IF($J387&gt;700,3,0)))</f>
        <v>1</v>
      </c>
    </row>
    <row r="388" spans="1:21" ht="18.75" customHeight="1">
      <c r="A388" s="16">
        <v>396</v>
      </c>
      <c r="B388" s="3">
        <v>33</v>
      </c>
      <c r="C388" s="4" t="s">
        <v>419</v>
      </c>
      <c r="D388" s="9" t="s">
        <v>441</v>
      </c>
      <c r="E388" s="5" t="s">
        <v>387</v>
      </c>
      <c r="F388" s="6">
        <v>155</v>
      </c>
      <c r="G388" s="6">
        <v>843</v>
      </c>
      <c r="H388" s="6">
        <v>453</v>
      </c>
      <c r="I388" s="6">
        <v>390</v>
      </c>
      <c r="J388" s="17">
        <f t="shared" si="19"/>
        <v>860.92715231788077</v>
      </c>
      <c r="K388" s="6">
        <v>246</v>
      </c>
      <c r="L388" s="6">
        <v>134</v>
      </c>
      <c r="M388" s="6">
        <v>112</v>
      </c>
      <c r="N388" s="7">
        <f t="shared" si="18"/>
        <v>29.181494661921707</v>
      </c>
      <c r="O388" s="6">
        <v>557</v>
      </c>
      <c r="P388" s="6">
        <v>327</v>
      </c>
      <c r="Q388" s="6">
        <v>230</v>
      </c>
      <c r="R388" s="7">
        <v>73.774834437086085</v>
      </c>
      <c r="S388" s="7">
        <v>82.784810126582272</v>
      </c>
      <c r="T388" s="7">
        <v>63.888888888888886</v>
      </c>
      <c r="U388" s="15">
        <f t="shared" si="20"/>
        <v>2</v>
      </c>
    </row>
    <row r="389" spans="1:21" ht="18.75" customHeight="1">
      <c r="A389" s="16">
        <v>397</v>
      </c>
      <c r="B389" s="3">
        <v>34</v>
      </c>
      <c r="C389" s="4" t="s">
        <v>420</v>
      </c>
      <c r="D389" s="9" t="s">
        <v>441</v>
      </c>
      <c r="E389" s="5" t="s">
        <v>387</v>
      </c>
      <c r="F389" s="6">
        <v>200</v>
      </c>
      <c r="G389" s="6">
        <v>987</v>
      </c>
      <c r="H389" s="6">
        <v>534</v>
      </c>
      <c r="I389" s="6">
        <v>453</v>
      </c>
      <c r="J389" s="17">
        <f t="shared" si="19"/>
        <v>848.31460674157302</v>
      </c>
      <c r="K389" s="6">
        <v>17</v>
      </c>
      <c r="L389" s="6">
        <v>10</v>
      </c>
      <c r="M389" s="6">
        <v>7</v>
      </c>
      <c r="N389" s="7">
        <f t="shared" si="18"/>
        <v>1.7223910840932117</v>
      </c>
      <c r="O389" s="6">
        <v>677</v>
      </c>
      <c r="P389" s="6">
        <v>415</v>
      </c>
      <c r="Q389" s="6">
        <v>262</v>
      </c>
      <c r="R389" s="7">
        <v>77.816091954022994</v>
      </c>
      <c r="S389" s="7">
        <v>90.021691973969638</v>
      </c>
      <c r="T389" s="7">
        <v>64.058679706601467</v>
      </c>
      <c r="U389" s="15">
        <f t="shared" si="20"/>
        <v>2</v>
      </c>
    </row>
    <row r="390" spans="1:21" ht="18.75" customHeight="1">
      <c r="A390" s="16">
        <v>398</v>
      </c>
      <c r="B390" s="3">
        <v>35</v>
      </c>
      <c r="C390" s="4" t="s">
        <v>421</v>
      </c>
      <c r="D390" s="9" t="s">
        <v>441</v>
      </c>
      <c r="E390" s="5" t="s">
        <v>387</v>
      </c>
      <c r="F390" s="6">
        <v>1</v>
      </c>
      <c r="G390" s="6">
        <v>4</v>
      </c>
      <c r="H390" s="6">
        <v>3</v>
      </c>
      <c r="I390" s="6">
        <v>1</v>
      </c>
      <c r="J390" s="17">
        <f t="shared" si="19"/>
        <v>333.33333333333331</v>
      </c>
      <c r="K390" s="6">
        <v>0</v>
      </c>
      <c r="L390" s="6">
        <v>0</v>
      </c>
      <c r="M390" s="6">
        <v>0</v>
      </c>
      <c r="N390" s="7">
        <f t="shared" si="18"/>
        <v>0</v>
      </c>
      <c r="O390" s="6">
        <v>3</v>
      </c>
      <c r="P390" s="6">
        <v>3</v>
      </c>
      <c r="Q390" s="6">
        <v>0</v>
      </c>
      <c r="R390" s="7">
        <v>75</v>
      </c>
      <c r="S390" s="7">
        <v>100</v>
      </c>
      <c r="T390" s="7">
        <v>0</v>
      </c>
      <c r="U390" s="15">
        <f t="shared" si="20"/>
        <v>0</v>
      </c>
    </row>
    <row r="391" spans="1:21" ht="18.75" customHeight="1">
      <c r="A391" s="16">
        <v>399</v>
      </c>
      <c r="B391" s="3">
        <v>36</v>
      </c>
      <c r="C391" s="4" t="s">
        <v>422</v>
      </c>
      <c r="D391" s="9" t="s">
        <v>441</v>
      </c>
      <c r="E391" s="5" t="s">
        <v>387</v>
      </c>
      <c r="F391" s="6">
        <v>301</v>
      </c>
      <c r="G391" s="6">
        <v>1540</v>
      </c>
      <c r="H391" s="6">
        <v>804</v>
      </c>
      <c r="I391" s="6">
        <v>736</v>
      </c>
      <c r="J391" s="17">
        <f t="shared" si="19"/>
        <v>915.42288557213931</v>
      </c>
      <c r="K391" s="6">
        <v>295</v>
      </c>
      <c r="L391" s="6">
        <v>150</v>
      </c>
      <c r="M391" s="6">
        <v>145</v>
      </c>
      <c r="N391" s="7">
        <f t="shared" si="18"/>
        <v>19.155844155844157</v>
      </c>
      <c r="O391" s="6">
        <v>1060</v>
      </c>
      <c r="P391" s="6">
        <v>611</v>
      </c>
      <c r="Q391" s="6">
        <v>449</v>
      </c>
      <c r="R391" s="7">
        <v>79.163554891710234</v>
      </c>
      <c r="S391" s="7">
        <v>88.167388167388168</v>
      </c>
      <c r="T391" s="7">
        <v>69.504643962848306</v>
      </c>
      <c r="U391" s="15">
        <f t="shared" si="20"/>
        <v>1</v>
      </c>
    </row>
    <row r="392" spans="1:21" ht="18.75" customHeight="1">
      <c r="A392" s="16">
        <v>400</v>
      </c>
      <c r="B392" s="3">
        <v>37</v>
      </c>
      <c r="C392" s="4" t="s">
        <v>423</v>
      </c>
      <c r="D392" s="9" t="s">
        <v>441</v>
      </c>
      <c r="E392" s="5" t="s">
        <v>387</v>
      </c>
      <c r="F392" s="6">
        <v>377</v>
      </c>
      <c r="G392" s="6">
        <v>2064</v>
      </c>
      <c r="H392" s="6">
        <v>1077</v>
      </c>
      <c r="I392" s="6">
        <v>987</v>
      </c>
      <c r="J392" s="17">
        <f t="shared" si="19"/>
        <v>916.4345403899722</v>
      </c>
      <c r="K392" s="6">
        <v>427</v>
      </c>
      <c r="L392" s="6">
        <v>227</v>
      </c>
      <c r="M392" s="6">
        <v>200</v>
      </c>
      <c r="N392" s="7">
        <f t="shared" si="18"/>
        <v>20.687984496124031</v>
      </c>
      <c r="O392" s="6">
        <v>1461</v>
      </c>
      <c r="P392" s="6">
        <v>833</v>
      </c>
      <c r="Q392" s="6">
        <v>628</v>
      </c>
      <c r="R392" s="7">
        <v>79.792463134898966</v>
      </c>
      <c r="S392" s="7">
        <v>88.617021276595736</v>
      </c>
      <c r="T392" s="7">
        <v>70.482603815937154</v>
      </c>
      <c r="U392" s="15">
        <f t="shared" si="20"/>
        <v>1</v>
      </c>
    </row>
    <row r="393" spans="1:21" ht="18.75" customHeight="1">
      <c r="A393" s="16">
        <v>401</v>
      </c>
      <c r="B393" s="3">
        <v>38</v>
      </c>
      <c r="C393" s="4" t="s">
        <v>424</v>
      </c>
      <c r="D393" s="9" t="s">
        <v>441</v>
      </c>
      <c r="E393" s="5" t="s">
        <v>387</v>
      </c>
      <c r="F393" s="6">
        <v>1593</v>
      </c>
      <c r="G393" s="6">
        <v>7658</v>
      </c>
      <c r="H393" s="6">
        <v>4042</v>
      </c>
      <c r="I393" s="6">
        <v>3616</v>
      </c>
      <c r="J393" s="17">
        <f t="shared" si="19"/>
        <v>894.60663038099949</v>
      </c>
      <c r="K393" s="6">
        <v>1028</v>
      </c>
      <c r="L393" s="6">
        <v>534</v>
      </c>
      <c r="M393" s="6">
        <v>494</v>
      </c>
      <c r="N393" s="7">
        <f t="shared" si="18"/>
        <v>13.423870462261686</v>
      </c>
      <c r="O393" s="6">
        <v>5698</v>
      </c>
      <c r="P393" s="6">
        <v>3183</v>
      </c>
      <c r="Q393" s="6">
        <v>2515</v>
      </c>
      <c r="R393" s="7">
        <v>84.277473746487203</v>
      </c>
      <c r="S393" s="7">
        <v>89.561057962858754</v>
      </c>
      <c r="T393" s="7">
        <v>78.422201434362336</v>
      </c>
      <c r="U393" s="15">
        <f t="shared" si="20"/>
        <v>2</v>
      </c>
    </row>
    <row r="394" spans="1:21" ht="18.75" customHeight="1">
      <c r="A394" s="16">
        <v>402</v>
      </c>
      <c r="B394" s="3">
        <v>39</v>
      </c>
      <c r="C394" s="4" t="s">
        <v>425</v>
      </c>
      <c r="D394" s="9" t="s">
        <v>441</v>
      </c>
      <c r="E394" s="5" t="s">
        <v>387</v>
      </c>
      <c r="F394" s="6">
        <v>175</v>
      </c>
      <c r="G394" s="6">
        <v>935</v>
      </c>
      <c r="H394" s="6">
        <v>497</v>
      </c>
      <c r="I394" s="6">
        <v>438</v>
      </c>
      <c r="J394" s="17">
        <f t="shared" si="19"/>
        <v>881.28772635814892</v>
      </c>
      <c r="K394" s="6">
        <v>210</v>
      </c>
      <c r="L394" s="6">
        <v>114</v>
      </c>
      <c r="M394" s="6">
        <v>96</v>
      </c>
      <c r="N394" s="7">
        <f t="shared" si="18"/>
        <v>22.459893048128343</v>
      </c>
      <c r="O394" s="6">
        <v>585</v>
      </c>
      <c r="P394" s="6">
        <v>346</v>
      </c>
      <c r="Q394" s="6">
        <v>239</v>
      </c>
      <c r="R394" s="7">
        <v>71.779141104294482</v>
      </c>
      <c r="S394" s="7">
        <v>80.841121495327101</v>
      </c>
      <c r="T394" s="7">
        <v>61.75710594315246</v>
      </c>
      <c r="U394" s="15">
        <f t="shared" si="20"/>
        <v>2</v>
      </c>
    </row>
    <row r="395" spans="1:21" ht="18.75" customHeight="1">
      <c r="A395" s="16">
        <v>403</v>
      </c>
      <c r="B395" s="3">
        <v>40</v>
      </c>
      <c r="C395" s="4" t="s">
        <v>426</v>
      </c>
      <c r="D395" s="9" t="s">
        <v>441</v>
      </c>
      <c r="E395" s="5" t="s">
        <v>387</v>
      </c>
      <c r="F395" s="6">
        <v>202</v>
      </c>
      <c r="G395" s="6">
        <v>1079</v>
      </c>
      <c r="H395" s="6">
        <v>565</v>
      </c>
      <c r="I395" s="6">
        <v>514</v>
      </c>
      <c r="J395" s="17">
        <f t="shared" si="19"/>
        <v>909.73451327433634</v>
      </c>
      <c r="K395" s="6">
        <v>14</v>
      </c>
      <c r="L395" s="6">
        <v>7</v>
      </c>
      <c r="M395" s="6">
        <v>7</v>
      </c>
      <c r="N395" s="7">
        <f t="shared" si="18"/>
        <v>1.2974976830398517</v>
      </c>
      <c r="O395" s="6">
        <v>722</v>
      </c>
      <c r="P395" s="6">
        <v>426</v>
      </c>
      <c r="Q395" s="6">
        <v>296</v>
      </c>
      <c r="R395" s="7">
        <v>75.208333333333329</v>
      </c>
      <c r="S395" s="7">
        <v>84.860557768924309</v>
      </c>
      <c r="T395" s="7">
        <v>64.62882096069869</v>
      </c>
      <c r="U395" s="15">
        <f t="shared" si="20"/>
        <v>1</v>
      </c>
    </row>
    <row r="396" spans="1:21" ht="18.75" customHeight="1">
      <c r="A396" s="16">
        <v>404</v>
      </c>
      <c r="B396" s="3">
        <v>41</v>
      </c>
      <c r="C396" s="4" t="s">
        <v>427</v>
      </c>
      <c r="D396" s="9" t="s">
        <v>441</v>
      </c>
      <c r="E396" s="5" t="s">
        <v>387</v>
      </c>
      <c r="F396" s="6">
        <v>247</v>
      </c>
      <c r="G396" s="6">
        <v>1235</v>
      </c>
      <c r="H396" s="6">
        <v>653</v>
      </c>
      <c r="I396" s="6">
        <v>582</v>
      </c>
      <c r="J396" s="17">
        <f t="shared" si="19"/>
        <v>891.27105666156206</v>
      </c>
      <c r="K396" s="6">
        <v>324</v>
      </c>
      <c r="L396" s="6">
        <v>181</v>
      </c>
      <c r="M396" s="6">
        <v>143</v>
      </c>
      <c r="N396" s="7">
        <f t="shared" si="18"/>
        <v>26.234817813765183</v>
      </c>
      <c r="O396" s="6">
        <v>816</v>
      </c>
      <c r="P396" s="6">
        <v>475</v>
      </c>
      <c r="Q396" s="6">
        <v>341</v>
      </c>
      <c r="R396" s="7">
        <v>77.199621570482506</v>
      </c>
      <c r="S396" s="7">
        <v>85.278276481149021</v>
      </c>
      <c r="T396" s="7">
        <v>68.2</v>
      </c>
      <c r="U396" s="15">
        <f t="shared" si="20"/>
        <v>2</v>
      </c>
    </row>
    <row r="397" spans="1:21" ht="18.75" customHeight="1">
      <c r="A397" s="16">
        <v>405</v>
      </c>
      <c r="B397" s="3">
        <v>42</v>
      </c>
      <c r="C397" s="4" t="s">
        <v>428</v>
      </c>
      <c r="D397" s="9" t="s">
        <v>441</v>
      </c>
      <c r="E397" s="5" t="s">
        <v>387</v>
      </c>
      <c r="F397" s="6">
        <v>204</v>
      </c>
      <c r="G397" s="6">
        <v>1098</v>
      </c>
      <c r="H397" s="6">
        <v>570</v>
      </c>
      <c r="I397" s="6">
        <v>528</v>
      </c>
      <c r="J397" s="17">
        <f t="shared" si="19"/>
        <v>926.31578947368416</v>
      </c>
      <c r="K397" s="6">
        <v>518</v>
      </c>
      <c r="L397" s="6">
        <v>257</v>
      </c>
      <c r="M397" s="6">
        <v>261</v>
      </c>
      <c r="N397" s="7">
        <f t="shared" si="18"/>
        <v>47.176684881602917</v>
      </c>
      <c r="O397" s="6">
        <v>709</v>
      </c>
      <c r="P397" s="6">
        <v>414</v>
      </c>
      <c r="Q397" s="6">
        <v>295</v>
      </c>
      <c r="R397" s="7">
        <v>74.318658280922435</v>
      </c>
      <c r="S397" s="7">
        <v>81.980198019801975</v>
      </c>
      <c r="T397" s="7">
        <v>65.701559020044542</v>
      </c>
      <c r="U397" s="15">
        <f t="shared" si="20"/>
        <v>1</v>
      </c>
    </row>
    <row r="398" spans="1:21" ht="18.75" customHeight="1">
      <c r="A398" s="16">
        <v>406</v>
      </c>
      <c r="B398" s="3">
        <v>43</v>
      </c>
      <c r="C398" s="4" t="s">
        <v>429</v>
      </c>
      <c r="D398" s="9" t="s">
        <v>441</v>
      </c>
      <c r="E398" s="5" t="s">
        <v>387</v>
      </c>
      <c r="F398" s="6">
        <v>339</v>
      </c>
      <c r="G398" s="6">
        <v>1769</v>
      </c>
      <c r="H398" s="6">
        <v>930</v>
      </c>
      <c r="I398" s="6">
        <v>839</v>
      </c>
      <c r="J398" s="17">
        <f t="shared" si="19"/>
        <v>902.15053763440858</v>
      </c>
      <c r="K398" s="6">
        <v>727</v>
      </c>
      <c r="L398" s="6">
        <v>377</v>
      </c>
      <c r="M398" s="6">
        <v>350</v>
      </c>
      <c r="N398" s="7">
        <f t="shared" si="18"/>
        <v>41.096664782362922</v>
      </c>
      <c r="O398" s="6">
        <v>1201</v>
      </c>
      <c r="P398" s="6">
        <v>682</v>
      </c>
      <c r="Q398" s="6">
        <v>519</v>
      </c>
      <c r="R398" s="7">
        <v>77.433913604126374</v>
      </c>
      <c r="S398" s="7">
        <v>85.356695869837296</v>
      </c>
      <c r="T398" s="7">
        <v>69.0159574468085</v>
      </c>
      <c r="U398" s="15">
        <f t="shared" si="20"/>
        <v>1</v>
      </c>
    </row>
    <row r="399" spans="1:21" ht="18.75" customHeight="1">
      <c r="A399" s="16">
        <v>407</v>
      </c>
      <c r="B399" s="3">
        <v>44</v>
      </c>
      <c r="C399" s="4" t="s">
        <v>430</v>
      </c>
      <c r="D399" s="9" t="s">
        <v>441</v>
      </c>
      <c r="E399" s="5" t="s">
        <v>387</v>
      </c>
      <c r="F399" s="6">
        <v>177</v>
      </c>
      <c r="G399" s="6">
        <v>982</v>
      </c>
      <c r="H399" s="6">
        <v>503</v>
      </c>
      <c r="I399" s="6">
        <v>479</v>
      </c>
      <c r="J399" s="17">
        <f t="shared" si="19"/>
        <v>952.286282306163</v>
      </c>
      <c r="K399" s="6">
        <v>65</v>
      </c>
      <c r="L399" s="6">
        <v>32</v>
      </c>
      <c r="M399" s="6">
        <v>33</v>
      </c>
      <c r="N399" s="7">
        <f t="shared" si="18"/>
        <v>6.619144602851323</v>
      </c>
      <c r="O399" s="6">
        <v>657</v>
      </c>
      <c r="P399" s="6">
        <v>367</v>
      </c>
      <c r="Q399" s="6">
        <v>290</v>
      </c>
      <c r="R399" s="7">
        <v>75.171624713958806</v>
      </c>
      <c r="S399" s="7">
        <v>83.599088838268798</v>
      </c>
      <c r="T399" s="7">
        <v>66.666666666666657</v>
      </c>
      <c r="U399" s="15">
        <f t="shared" si="20"/>
        <v>1</v>
      </c>
    </row>
    <row r="400" spans="1:21" ht="18.75" customHeight="1">
      <c r="A400" s="16">
        <v>408</v>
      </c>
      <c r="B400" s="3">
        <v>45</v>
      </c>
      <c r="C400" s="4" t="s">
        <v>431</v>
      </c>
      <c r="D400" s="9" t="s">
        <v>441</v>
      </c>
      <c r="E400" s="5" t="s">
        <v>387</v>
      </c>
      <c r="F400" s="6">
        <v>46</v>
      </c>
      <c r="G400" s="6">
        <v>262</v>
      </c>
      <c r="H400" s="6">
        <v>143</v>
      </c>
      <c r="I400" s="6">
        <v>119</v>
      </c>
      <c r="J400" s="17">
        <f t="shared" si="19"/>
        <v>832.16783216783222</v>
      </c>
      <c r="K400" s="6">
        <v>72</v>
      </c>
      <c r="L400" s="6">
        <v>40</v>
      </c>
      <c r="M400" s="6">
        <v>32</v>
      </c>
      <c r="N400" s="7">
        <f t="shared" si="18"/>
        <v>27.480916030534353</v>
      </c>
      <c r="O400" s="6">
        <v>185</v>
      </c>
      <c r="P400" s="6">
        <v>111</v>
      </c>
      <c r="Q400" s="6">
        <v>74</v>
      </c>
      <c r="R400" s="7">
        <v>80.786026200873366</v>
      </c>
      <c r="S400" s="7">
        <v>87.4015748031496</v>
      </c>
      <c r="T400" s="7">
        <v>72.549019607843135</v>
      </c>
      <c r="U400" s="15">
        <f t="shared" si="20"/>
        <v>2</v>
      </c>
    </row>
    <row r="401" spans="1:21" ht="18.75" customHeight="1">
      <c r="A401" s="16">
        <v>409</v>
      </c>
      <c r="B401" s="3">
        <v>46</v>
      </c>
      <c r="C401" s="4" t="s">
        <v>432</v>
      </c>
      <c r="D401" s="9" t="s">
        <v>441</v>
      </c>
      <c r="E401" s="5" t="s">
        <v>387</v>
      </c>
      <c r="F401" s="6">
        <v>70</v>
      </c>
      <c r="G401" s="6">
        <v>377</v>
      </c>
      <c r="H401" s="6">
        <v>208</v>
      </c>
      <c r="I401" s="6">
        <v>169</v>
      </c>
      <c r="J401" s="17">
        <f t="shared" si="19"/>
        <v>812.5</v>
      </c>
      <c r="K401" s="6">
        <v>162</v>
      </c>
      <c r="L401" s="6">
        <v>90</v>
      </c>
      <c r="M401" s="6">
        <v>72</v>
      </c>
      <c r="N401" s="7">
        <f t="shared" si="18"/>
        <v>42.970822281167109</v>
      </c>
      <c r="O401" s="6">
        <v>234</v>
      </c>
      <c r="P401" s="6">
        <v>142</v>
      </c>
      <c r="Q401" s="6">
        <v>92</v>
      </c>
      <c r="R401" s="7">
        <v>70.481927710843379</v>
      </c>
      <c r="S401" s="7">
        <v>78.453038674033152</v>
      </c>
      <c r="T401" s="7">
        <v>60.927152317880797</v>
      </c>
      <c r="U401" s="15">
        <f t="shared" si="20"/>
        <v>2</v>
      </c>
    </row>
    <row r="402" spans="1:21" ht="18.75" customHeight="1">
      <c r="A402" s="16">
        <v>410</v>
      </c>
      <c r="B402" s="3">
        <v>47</v>
      </c>
      <c r="C402" s="4" t="s">
        <v>433</v>
      </c>
      <c r="D402" s="9" t="s">
        <v>441</v>
      </c>
      <c r="E402" s="5" t="s">
        <v>387</v>
      </c>
      <c r="F402" s="6">
        <v>601</v>
      </c>
      <c r="G402" s="6">
        <v>3315</v>
      </c>
      <c r="H402" s="6">
        <v>1783</v>
      </c>
      <c r="I402" s="6">
        <v>1532</v>
      </c>
      <c r="J402" s="17">
        <f t="shared" si="19"/>
        <v>859.22602355580477</v>
      </c>
      <c r="K402" s="6">
        <v>706</v>
      </c>
      <c r="L402" s="6">
        <v>387</v>
      </c>
      <c r="M402" s="6">
        <v>319</v>
      </c>
      <c r="N402" s="7">
        <f t="shared" si="18"/>
        <v>21.297134238310708</v>
      </c>
      <c r="O402" s="6">
        <v>2318</v>
      </c>
      <c r="P402" s="6">
        <v>1360</v>
      </c>
      <c r="Q402" s="6">
        <v>958</v>
      </c>
      <c r="R402" s="7">
        <v>78.231522105973667</v>
      </c>
      <c r="S402" s="7">
        <v>86.185044359949302</v>
      </c>
      <c r="T402" s="7">
        <v>69.169675090252696</v>
      </c>
      <c r="U402" s="15">
        <f t="shared" si="20"/>
        <v>2</v>
      </c>
    </row>
    <row r="403" spans="1:21" ht="18.75" customHeight="1">
      <c r="A403" s="16">
        <v>411</v>
      </c>
      <c r="B403" s="3">
        <v>48</v>
      </c>
      <c r="C403" s="4" t="s">
        <v>434</v>
      </c>
      <c r="D403" s="9" t="s">
        <v>441</v>
      </c>
      <c r="E403" s="5" t="s">
        <v>387</v>
      </c>
      <c r="F403" s="6">
        <v>635</v>
      </c>
      <c r="G403" s="6">
        <v>3163</v>
      </c>
      <c r="H403" s="6">
        <v>1677</v>
      </c>
      <c r="I403" s="6">
        <v>1486</v>
      </c>
      <c r="J403" s="17">
        <f t="shared" si="19"/>
        <v>886.10614192009541</v>
      </c>
      <c r="K403" s="6">
        <v>702</v>
      </c>
      <c r="L403" s="6">
        <v>377</v>
      </c>
      <c r="M403" s="6">
        <v>325</v>
      </c>
      <c r="N403" s="7">
        <f t="shared" si="18"/>
        <v>22.194119506797342</v>
      </c>
      <c r="O403" s="6">
        <v>2068</v>
      </c>
      <c r="P403" s="6">
        <v>1209</v>
      </c>
      <c r="Q403" s="6">
        <v>859</v>
      </c>
      <c r="R403" s="7">
        <v>74.684001444564828</v>
      </c>
      <c r="S403" s="7">
        <v>83.149931224209084</v>
      </c>
      <c r="T403" s="7">
        <v>65.323193916349808</v>
      </c>
      <c r="U403" s="15">
        <f t="shared" si="20"/>
        <v>2</v>
      </c>
    </row>
    <row r="404" spans="1:21" ht="18.75" customHeight="1">
      <c r="A404" s="16">
        <v>412</v>
      </c>
      <c r="B404" s="3">
        <v>49</v>
      </c>
      <c r="C404" s="4" t="s">
        <v>435</v>
      </c>
      <c r="D404" s="9" t="s">
        <v>441</v>
      </c>
      <c r="E404" s="5" t="s">
        <v>387</v>
      </c>
      <c r="F404" s="6">
        <v>93</v>
      </c>
      <c r="G404" s="6">
        <v>423</v>
      </c>
      <c r="H404" s="6">
        <v>237</v>
      </c>
      <c r="I404" s="6">
        <v>186</v>
      </c>
      <c r="J404" s="17">
        <f t="shared" si="19"/>
        <v>784.81012658227849</v>
      </c>
      <c r="K404" s="6">
        <v>39</v>
      </c>
      <c r="L404" s="6">
        <v>21</v>
      </c>
      <c r="M404" s="6">
        <v>18</v>
      </c>
      <c r="N404" s="7">
        <f t="shared" si="18"/>
        <v>9.2198581560283674</v>
      </c>
      <c r="O404" s="6">
        <v>252</v>
      </c>
      <c r="P404" s="6">
        <v>146</v>
      </c>
      <c r="Q404" s="6">
        <v>106</v>
      </c>
      <c r="R404" s="7">
        <v>65.968586387434556</v>
      </c>
      <c r="S404" s="7">
        <v>67.906976744186039</v>
      </c>
      <c r="T404" s="7">
        <v>63.473053892215567</v>
      </c>
      <c r="U404" s="15">
        <f t="shared" si="20"/>
        <v>3</v>
      </c>
    </row>
    <row r="405" spans="1:21" ht="18.75" customHeight="1">
      <c r="A405" s="16">
        <v>413</v>
      </c>
      <c r="B405" s="3">
        <v>50</v>
      </c>
      <c r="C405" s="4" t="s">
        <v>436</v>
      </c>
      <c r="D405" s="9" t="s">
        <v>441</v>
      </c>
      <c r="E405" s="5" t="s">
        <v>387</v>
      </c>
      <c r="F405" s="6">
        <v>1551</v>
      </c>
      <c r="G405" s="6">
        <v>8108</v>
      </c>
      <c r="H405" s="6">
        <v>4323</v>
      </c>
      <c r="I405" s="6">
        <v>3785</v>
      </c>
      <c r="J405" s="17">
        <f t="shared" si="19"/>
        <v>875.54938699976867</v>
      </c>
      <c r="K405" s="6">
        <v>1869</v>
      </c>
      <c r="L405" s="6">
        <v>994</v>
      </c>
      <c r="M405" s="6">
        <v>875</v>
      </c>
      <c r="N405" s="7">
        <f t="shared" si="18"/>
        <v>23.051307350764677</v>
      </c>
      <c r="O405" s="6">
        <v>5626</v>
      </c>
      <c r="P405" s="6">
        <v>3284</v>
      </c>
      <c r="Q405" s="6">
        <v>2342</v>
      </c>
      <c r="R405" s="7">
        <v>78.983574336655906</v>
      </c>
      <c r="S405" s="7">
        <v>87.201274561869354</v>
      </c>
      <c r="T405" s="7">
        <v>69.764670837056897</v>
      </c>
      <c r="U405" s="15">
        <f t="shared" si="20"/>
        <v>2</v>
      </c>
    </row>
    <row r="406" spans="1:21" ht="18.75" customHeight="1">
      <c r="A406" s="16">
        <v>414</v>
      </c>
      <c r="B406" s="3">
        <v>51</v>
      </c>
      <c r="C406" s="4" t="s">
        <v>437</v>
      </c>
      <c r="D406" s="9" t="s">
        <v>441</v>
      </c>
      <c r="E406" s="5" t="s">
        <v>387</v>
      </c>
      <c r="F406" s="6">
        <v>355</v>
      </c>
      <c r="G406" s="6">
        <v>1955</v>
      </c>
      <c r="H406" s="6">
        <v>1021</v>
      </c>
      <c r="I406" s="6">
        <v>934</v>
      </c>
      <c r="J406" s="17">
        <f t="shared" si="19"/>
        <v>914.78942213516154</v>
      </c>
      <c r="K406" s="6">
        <v>716</v>
      </c>
      <c r="L406" s="6">
        <v>364</v>
      </c>
      <c r="M406" s="6">
        <v>352</v>
      </c>
      <c r="N406" s="7">
        <f t="shared" si="18"/>
        <v>36.624040920716112</v>
      </c>
      <c r="O406" s="6">
        <v>989</v>
      </c>
      <c r="P406" s="6">
        <v>574</v>
      </c>
      <c r="Q406" s="6">
        <v>415</v>
      </c>
      <c r="R406" s="7">
        <v>60.158150851581503</v>
      </c>
      <c r="S406" s="7">
        <v>66.281755196304843</v>
      </c>
      <c r="T406" s="7">
        <v>53.341902313624679</v>
      </c>
      <c r="U406" s="15">
        <f t="shared" si="20"/>
        <v>1</v>
      </c>
    </row>
    <row r="407" spans="1:21" ht="18.75" customHeight="1">
      <c r="A407" s="24">
        <v>415</v>
      </c>
      <c r="B407" s="25">
        <v>52</v>
      </c>
      <c r="C407" s="26" t="s">
        <v>438</v>
      </c>
      <c r="D407" s="27" t="s">
        <v>441</v>
      </c>
      <c r="E407" s="28" t="s">
        <v>387</v>
      </c>
      <c r="F407" s="29">
        <v>187</v>
      </c>
      <c r="G407" s="29">
        <v>999</v>
      </c>
      <c r="H407" s="29">
        <v>528</v>
      </c>
      <c r="I407" s="29">
        <v>471</v>
      </c>
      <c r="J407" s="30">
        <f t="shared" si="19"/>
        <v>892.04545454545462</v>
      </c>
      <c r="K407" s="6">
        <v>327</v>
      </c>
      <c r="L407" s="6">
        <v>177</v>
      </c>
      <c r="M407" s="6">
        <v>150</v>
      </c>
      <c r="N407" s="7">
        <f t="shared" si="18"/>
        <v>32.732732732732735</v>
      </c>
      <c r="O407" s="6">
        <v>685</v>
      </c>
      <c r="P407" s="6">
        <v>380</v>
      </c>
      <c r="Q407" s="6">
        <v>305</v>
      </c>
      <c r="R407" s="7">
        <v>77.664399092970527</v>
      </c>
      <c r="S407" s="7">
        <v>81.896551724137936</v>
      </c>
      <c r="T407" s="7">
        <v>72.966507177033492</v>
      </c>
      <c r="U407" s="15">
        <f t="shared" si="20"/>
        <v>2</v>
      </c>
    </row>
  </sheetData>
  <pageMargins left="0.7" right="0.7" top="0.75" bottom="0.75" header="0.3" footer="0.3"/>
  <pageSetup paperSize="5" scale="93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GISData</vt:lpstr>
      <vt:lpstr>Main_Data</vt:lpstr>
      <vt:lpstr>SexRatio</vt:lpstr>
      <vt:lpstr>Subtotal</vt:lpstr>
      <vt:lpstr>Main_Data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2006-09-16T00:00:00Z</dcterms:created>
  <dcterms:modified xsi:type="dcterms:W3CDTF">2023-05-24T09:59:01Z</dcterms:modified>
</cp:coreProperties>
</file>